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ABH\SOURABH\DASHBOARDS &amp; REPORTS\POWER BI REPORTS AND DASHBOARDS\F AND O SUMMARY\"/>
    </mc:Choice>
  </mc:AlternateContent>
  <xr:revisionPtr revIDLastSave="0" documentId="13_ncr:1_{2C4ED9D3-538C-46F4-8F19-B1CCA84F548E}" xr6:coauthVersionLast="47" xr6:coauthVersionMax="47" xr10:uidLastSave="{00000000-0000-0000-0000-000000000000}"/>
  <bookViews>
    <workbookView xWindow="-108" yWindow="-108" windowWidth="23256" windowHeight="12456" xr2:uid="{0575E138-0A79-42C4-A434-665F6B8B2617}"/>
  </bookViews>
  <sheets>
    <sheet name="F AND O SUMMAR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1" i="1" l="1"/>
  <c r="K92" i="1"/>
  <c r="K93" i="1"/>
  <c r="K94" i="1"/>
  <c r="K95" i="1"/>
  <c r="K96" i="1"/>
  <c r="K97" i="1"/>
  <c r="K98" i="1"/>
  <c r="K99" i="1"/>
  <c r="K100" i="1"/>
  <c r="K101" i="1"/>
  <c r="K102" i="1"/>
  <c r="K103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2" i="1"/>
</calcChain>
</file>

<file path=xl/sharedStrings.xml><?xml version="1.0" encoding="utf-8"?>
<sst xmlns="http://schemas.openxmlformats.org/spreadsheetml/2006/main" count="119" uniqueCount="105">
  <si>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</si>
  <si>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</si>
  <si>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</si>
  <si>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</si>
  <si>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</si>
  <si>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</si>
  <si>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</si>
  <si>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</si>
  <si>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Realized P&amp;L</t>
  </si>
  <si>
    <t>HDFCBANK 24 APR 25 1860 Call</t>
  </si>
  <si>
    <t>HDFCBANK 24 APR 25 1880 Call</t>
  </si>
  <si>
    <t>HDFCBANK 24 APR 25 1900 Call</t>
  </si>
  <si>
    <t>RELIANCE 24 APR 25 1170 Put</t>
  </si>
  <si>
    <t>TATAMOTORS 24 APR 25 600 Put</t>
  </si>
  <si>
    <t>ICICIBANK 24 APR 25 1200 Put</t>
  </si>
  <si>
    <t>ICICIBANK 24 APR 25 1370 Call</t>
  </si>
  <si>
    <t>SBIN 24 APR 25 730 Put</t>
  </si>
  <si>
    <t>SBIN 24 APR 25 800 Call</t>
  </si>
  <si>
    <t>TATAMOTORS 24 APR 25 560 Put</t>
  </si>
  <si>
    <t>POWERGRID 24 APR 25 310 Call</t>
  </si>
  <si>
    <t>RELIANCE 24 APR 25 1270 Call</t>
  </si>
  <si>
    <t>AXISBANK 24 APR 25 1150 Call</t>
  </si>
  <si>
    <t>AXISBANK 24 APR 25 1170 Call</t>
  </si>
  <si>
    <t>HDFCBANK 24 APR 25 1940 Call</t>
  </si>
  <si>
    <t>ICICIBANK 24 APR 25 1450 Call</t>
  </si>
  <si>
    <t>AXISBANK 24 APR 25 1240 Call</t>
  </si>
  <si>
    <t>AXISBANK 24 APR 25 1260 Call</t>
  </si>
  <si>
    <t>HDFCBANK 24 APR 25 1980 Call</t>
  </si>
  <si>
    <t>SBIN 24 APR 25 850 Call</t>
  </si>
  <si>
    <t>HDFCBANK 24 APR 25 1900 Put</t>
  </si>
  <si>
    <t>RELIANCE 24 APR 25 1310 Call</t>
  </si>
  <si>
    <t>TATAMOTORS 24 APR 25 650 Call</t>
  </si>
  <si>
    <t>RELIANCE 29 MAY 25 1460 Call</t>
  </si>
  <si>
    <t>RELIANCE 29 MAY 25 1490 Call</t>
  </si>
  <si>
    <t>HDFCBANK 29 MAY 25 2080 Call</t>
  </si>
  <si>
    <t>ADANIENT 29 MAY 25 2600 Call</t>
  </si>
  <si>
    <t>ADANIENT 29 MAY 25 2700 Call</t>
  </si>
  <si>
    <t>BPCL 29 MAY 25 340 Call</t>
  </si>
  <si>
    <t>HDFCBANK 29 MAY 25 2020 Call</t>
  </si>
  <si>
    <t>RELIANCE 29 MAY 25 1470 Call</t>
  </si>
  <si>
    <t>ADANIGREEN 29 MAY 25 900 Put</t>
  </si>
  <si>
    <t>BHARTIARTL 29 MAY 25 2000 Call</t>
  </si>
  <si>
    <t>RELIANCE 29 MAY 25 1440 Call</t>
  </si>
  <si>
    <t>AXISBANK 29 MAY 25 1200 Call</t>
  </si>
  <si>
    <t>ICICIBANK 29 MAY 25 1470 Call</t>
  </si>
  <si>
    <t>HDFCBANK 29 MAY 25 1980 Call</t>
  </si>
  <si>
    <t>ICICIBANK 29 MAY 25 1440 Call</t>
  </si>
  <si>
    <t>TATAMOTORS 29 MAY 25 740 Call</t>
  </si>
  <si>
    <t>DRREDDY 29 MAY 25 1250 Call</t>
  </si>
  <si>
    <t>DRREDDY 29 MAY 25 1260 Call</t>
  </si>
  <si>
    <t>ICICIBANK 29 MAY 25 1420 Put</t>
  </si>
  <si>
    <t>ICICIBANK 29 MAY 25 1430 Call</t>
  </si>
  <si>
    <t>TATASTEEL 29 MAY 25 154 Call</t>
  </si>
  <si>
    <t>VEDL 29 MAY 25 450 Call</t>
  </si>
  <si>
    <t>JSWSTEEL 29 MAY 25 1000 Call</t>
  </si>
  <si>
    <t>JSWSTEEL 29 MAY 25 1020 Call</t>
  </si>
  <si>
    <t>TATAMOTORS 29 MAY 25 710 Call</t>
  </si>
  <si>
    <t>TATAMOTORS 29 MAY 25 730 Call</t>
  </si>
  <si>
    <t>ICICIBANK 29 MAY 25 1450 Call</t>
  </si>
  <si>
    <t>TATAPOWER 29 MAY 25 405 Call</t>
  </si>
  <si>
    <t>IRFC 29 MAY 25 145 Call</t>
  </si>
  <si>
    <t>CIPLA 29 MAY 25 1500 Call</t>
  </si>
  <si>
    <t>SBILIFE 29 MAY 25 1740 Put</t>
  </si>
  <si>
    <t>SBILIFE 29 MAY 25 1840 Call</t>
  </si>
  <si>
    <t>INDUSINDBK 29 MAY 25 840 Call</t>
  </si>
  <si>
    <t>AXISBANK 26 JUN 25 1240 Call</t>
  </si>
  <si>
    <t>HDFCBANK 26 JUN 25 2040 Call</t>
  </si>
  <si>
    <t>HDFCBANK 26 JUN 25 2080 Call</t>
  </si>
  <si>
    <t>TATAMOTORS 31 JUL 25 720 Call</t>
  </si>
  <si>
    <t>HDFCBANK 31 JUL 25 2080 Call</t>
  </si>
  <si>
    <t>RELIANCE 28 AUG 25 1420 Call</t>
  </si>
  <si>
    <t>NIFTY 16 SEP 25 25200 Call</t>
  </si>
  <si>
    <t>SENSEX 18 SEP 25 83000 Call</t>
  </si>
  <si>
    <t>DIVISLAB 30 SEP 25 6500 Call</t>
  </si>
  <si>
    <t>NIFTY 23 SEP 25 25350 Call</t>
  </si>
  <si>
    <t>NIFTY 07 OCT 25 25150 Call</t>
  </si>
  <si>
    <t>NIFTY 07 OCT 25 25200 Call</t>
  </si>
  <si>
    <t>NIFTY 07 OCT 25 25250 Call</t>
  </si>
  <si>
    <t>NIFTY 14 OCT 25 25100 Call</t>
  </si>
  <si>
    <t>NIFTY 14 OCT 25 25300 Call</t>
  </si>
  <si>
    <t>NIFTY 14 OCT 25 25200 Call</t>
  </si>
  <si>
    <t>NIFTY 20 OCT 25 25350 Call</t>
  </si>
  <si>
    <t>NIFTY 20 OCT 25 25400 Call</t>
  </si>
  <si>
    <t>NIFTY 20 OCT 25 25450 Call</t>
  </si>
  <si>
    <t>NIFTY 20 OCT 25 25500 Call</t>
  </si>
  <si>
    <t>NIFTY 20 OCT 25 25650 Call</t>
  </si>
  <si>
    <t>NIFTY 20 OCT 25 25750 Call</t>
  </si>
  <si>
    <t>YEAR</t>
  </si>
  <si>
    <t>Quarter NO</t>
  </si>
  <si>
    <t>WEEK</t>
  </si>
  <si>
    <t>WEEK DAY NO</t>
  </si>
  <si>
    <t>WEEK DAY NAME</t>
  </si>
  <si>
    <t xml:space="preserve">Quarter </t>
  </si>
  <si>
    <t>Month No</t>
  </si>
  <si>
    <t>Month</t>
  </si>
  <si>
    <t>NIFTY 28 OCT 25 25900 Call</t>
  </si>
  <si>
    <t>CIPLA 28 OCT OCT 1700 Call</t>
  </si>
  <si>
    <t>NIFTY 28 OCT 25 26100 Call</t>
  </si>
  <si>
    <t>NIFTY 18 NOV 25950 CALL</t>
  </si>
  <si>
    <t>AXISBANK 25 NOV 1270 Call</t>
  </si>
  <si>
    <t>TCS 3160 Call</t>
  </si>
  <si>
    <t>NIFTY 25'NOV 26350 CALL</t>
  </si>
  <si>
    <t>TCS 3140 Put</t>
  </si>
  <si>
    <t>NIFTY 02 DEC '25 -26250 CALL</t>
  </si>
  <si>
    <t>NIFTY 02 DEC '25 -26300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</si>
</sst>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E1AE9603-2357-4F60-8036-7A791B01B55F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64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URABH\SOURABH\SOURABH%20PERSONAL\Finance%20Dashboard.xlsx" TargetMode="External"/><Relationship Id="rId1" Type="http://schemas.openxmlformats.org/officeDocument/2006/relationships/externalLinkPath" Target="/SOURABH/SOURABH/SOURABH%20PERSONAL/Financ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  <sheetName val="Transactions Sheet"/>
      <sheetName val="EMI SUMMARY"/>
      <sheetName val="SIP MUTUAL FUNDS"/>
      <sheetName val="Equity Holdings "/>
      <sheetName val="F &amp; O"/>
      <sheetName val="F &amp; 0 DASHBOARD"/>
      <sheetName val="Transcation Analysis"/>
      <sheetName val="Setup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64E18-83ED-445A-827F-D812C3439AC5}" name="Table1" displayName="Table1" ref="A1:Q103" totalsRowShown="0" headerRowDxfId="18" dataDxfId="17">
  <autoFilter ref="A1:Q103" xr:uid="{39C64E18-83ED-445A-827F-D812C3439AC5}"/>
  <tableColumns count="17">
    <tableColumn id="1" xr3:uid="{2897FC4E-ACB8-4AF7-96B3-F053C7AC66EC}" name="Scrip Name" dataDxfId="16"/>
    <tableColumn id="2" xr3:uid="{0EC2DE9A-ABB8-4066-ADB4-0E82D8FEE09E}" name="Quantity" dataDxfId="15"/>
    <tableColumn id="3" xr3:uid="{1C4232C6-6EFC-4B4B-85C8-8AB331389A0B}" name="Buy Date" dataDxfId="14"/>
    <tableColumn id="4" xr3:uid="{94EFBA21-52F0-4C26-A29D-E416E65D8932}" name="Buy Price" dataDxfId="13"/>
    <tableColumn id="5" xr3:uid="{02B3FF95-CD6E-4FD8-B367-7910B0C51829}" name="Buy Value" dataDxfId="12"/>
    <tableColumn id="6" xr3:uid="{94DB2A82-06D4-4A4B-90D9-397ED1600445}" name="Sell Date" dataDxfId="11"/>
    <tableColumn id="7" xr3:uid="{1FAFAB70-D903-4271-96E4-F697308D6AB5}" name="Sell Price" dataDxfId="10"/>
    <tableColumn id="8" xr3:uid="{A1F7ED05-327C-473D-8213-B12DCFEC042F}" name="Sell Value" dataDxfId="9"/>
    <tableColumn id="9" xr3:uid="{639041EF-FFDC-4DC3-8815-142E90E9FEAD}" name="Realized P&amp;L" dataDxfId="8"/>
    <tableColumn id="10" xr3:uid="{CB58532C-EEAC-4F6A-A3B2-7240F0345E1B}" name="YEAR" dataDxfId="0">
      <calculatedColumnFormula>IF([1]!Fo_SUMMARY[[#This Row],[Realized P&amp;L]]&gt;0, "Realized Profit", "Realized Loss")</calculatedColumnFormula>
    </tableColumn>
    <tableColumn id="11" xr3:uid="{82A52576-F09C-4211-AD00-CD10A3D9844C}" name="Quarter NO" dataDxfId="7">
      <calculatedColumnFormula>ROUNDUP(MONTH(C2)/3, 0)</calculatedColumnFormula>
    </tableColumn>
    <tableColumn id="12" xr3:uid="{70D9CD4C-39BE-4878-A7E6-ADE4AE4946F4}" name="Quarter " dataDxfId="6">
      <calculatedColumnFormula>"Q"&amp;ROUNDUP(MONTH(C2)/3, 0)</calculatedColumnFormula>
    </tableColumn>
    <tableColumn id="13" xr3:uid="{FD5B919B-4206-47FD-B67E-43EA525648FA}" name="Month No" dataDxfId="5">
      <calculatedColumnFormula>MONTH(C2)</calculatedColumnFormula>
    </tableColumn>
    <tableColumn id="14" xr3:uid="{8E923665-9A3E-45A5-86F1-6A97A44AAE86}" name="Month" dataDxfId="4">
      <calculatedColumnFormula>TEXT(C2, "MMM")</calculatedColumnFormula>
    </tableColumn>
    <tableColumn id="15" xr3:uid="{821BBCEE-0283-4B56-A28A-FE08BF29B981}" name="WEEK" dataDxfId="3">
      <calculatedColumnFormula>WEEKNUM(C2,2)</calculatedColumnFormula>
    </tableColumn>
    <tableColumn id="16" xr3:uid="{A0D17F81-335E-4E77-95F7-1E2213F82619}" name="WEEK DAY NO" dataDxfId="2">
      <calculatedColumnFormula>WEEKDAY(C2,2)</calculatedColumnFormula>
    </tableColumn>
    <tableColumn id="17" xr3:uid="{82AF8688-F57C-4D1E-AFCC-F8A42FBAC8DE}" name="WEEK DAY NAME" dataDxfId="1">
      <calculatedColumnFormula>TEXT(C2, "DDD")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5C7E-8590-4471-B5BB-3364E8E812D8}">
  <dimension ref="A1:Q103"/>
  <sheetViews>
    <sheetView tabSelected="1" workbookViewId="0">
      <pane ySplit="1" topLeftCell="A78" activePane="bottomLeft" state="frozen"/>
      <selection pane="bottomLeft" activeCell="G7" sqref="G7"/>
    </sheetView>
  </sheetViews>
  <sheetFormatPr defaultRowHeight="14.4" x14ac:dyDescent="0.3"/>
  <cols>
    <col min="1" max="1" width="37.44140625" bestFit="1" customWidth="1"/>
    <col min="2" max="2" width="10.21875" customWidth="1"/>
    <col min="3" max="3" width="12.33203125" style="2" bestFit="1" customWidth="1"/>
    <col min="4" max="4" width="11.5546875" style="1" customWidth="1"/>
    <col min="5" max="5" width="14.21875" style="1" bestFit="1" customWidth="1"/>
    <col min="6" max="6" width="12.33203125" style="2" bestFit="1" customWidth="1"/>
    <col min="7" max="7" width="11.21875" style="1" customWidth="1"/>
    <col min="8" max="8" width="14.21875" style="1" bestFit="1" customWidth="1"/>
    <col min="9" max="9" width="15.109375" style="1" bestFit="1" customWidth="1"/>
    <col min="11" max="11" width="13.33203125" customWidth="1"/>
    <col min="12" max="12" width="14.5546875" bestFit="1" customWidth="1"/>
    <col min="13" max="14" width="14.5546875" customWidth="1"/>
    <col min="16" max="16" width="18.21875" bestFit="1" customWidth="1"/>
    <col min="17" max="17" width="21.33203125" bestFit="1" customWidth="1"/>
  </cols>
  <sheetData>
    <row r="1" spans="1:17" x14ac:dyDescent="0.3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87</v>
      </c>
      <c r="K1" s="6" t="s">
        <v>88</v>
      </c>
      <c r="L1" s="6" t="s">
        <v>92</v>
      </c>
      <c r="M1" s="6" t="s">
        <v>93</v>
      </c>
      <c r="N1" s="6" t="s">
        <v>94</v>
      </c>
      <c r="O1" s="6" t="s">
        <v>89</v>
      </c>
      <c r="P1" s="6" t="s">
        <v>90</v>
      </c>
      <c r="Q1" s="6" t="s">
        <v>91</v>
      </c>
    </row>
    <row r="2" spans="1:17" x14ac:dyDescent="0.3">
      <c r="A2" s="7" t="s">
        <v>9</v>
      </c>
      <c r="B2" s="7">
        <v>550</v>
      </c>
      <c r="C2" s="8">
        <v>45749</v>
      </c>
      <c r="D2" s="9">
        <v>11.5</v>
      </c>
      <c r="E2" s="9">
        <v>6325</v>
      </c>
      <c r="F2" s="8">
        <v>45749</v>
      </c>
      <c r="G2" s="9">
        <v>13.5</v>
      </c>
      <c r="H2" s="9">
        <v>7425</v>
      </c>
      <c r="I2" s="9">
        <v>1100</v>
      </c>
      <c r="J2" s="15" t="str">
        <f>IF([1]!Fo_SUMMARY[[#This Row],[Realized P&amp;L]]&gt;0, "Realized Profit", "Realized Loss")</f>
        <v>Realized Profit</v>
      </c>
      <c r="K2" s="3">
        <f>ROUNDUP(MONTH(C2)/3, 0)</f>
        <v>2</v>
      </c>
      <c r="L2" s="3" t="str">
        <f>"Q"&amp;ROUNDUP(MONTH(C2)/3, 0)</f>
        <v>Q2</v>
      </c>
      <c r="M2" s="3">
        <f>MONTH(C2)</f>
        <v>4</v>
      </c>
      <c r="N2" s="3" t="str">
        <f>TEXT(C2, "MMM")</f>
        <v>Apr</v>
      </c>
      <c r="O2" s="3">
        <f>WEEKNUM(C2,2)</f>
        <v>14</v>
      </c>
      <c r="P2" s="3">
        <f>WEEKDAY(C2,2)</f>
        <v>3</v>
      </c>
      <c r="Q2" s="3" t="str">
        <f>TEXT(C2, "DDD")</f>
        <v>Wed</v>
      </c>
    </row>
    <row r="3" spans="1:17" x14ac:dyDescent="0.3">
      <c r="A3" s="7" t="s">
        <v>10</v>
      </c>
      <c r="B3" s="7">
        <v>550</v>
      </c>
      <c r="C3" s="8">
        <v>45750</v>
      </c>
      <c r="D3" s="9">
        <v>9.3000000000000007</v>
      </c>
      <c r="E3" s="9">
        <v>5115</v>
      </c>
      <c r="F3" s="8">
        <v>45750</v>
      </c>
      <c r="G3" s="9">
        <v>10.3</v>
      </c>
      <c r="H3" s="9">
        <v>5665</v>
      </c>
      <c r="I3" s="9">
        <v>550</v>
      </c>
      <c r="J3" s="15" t="str">
        <f>IF([1]!Fo_SUMMARY[[#This Row],[Realized P&amp;L]]&gt;0, "Realized Profit", "Realized Loss")</f>
        <v>Realized Profit</v>
      </c>
      <c r="K3" s="3">
        <f t="shared" ref="K3:K66" si="0">ROUNDUP(MONTH(C3)/3, 0)</f>
        <v>2</v>
      </c>
      <c r="L3" s="3" t="str">
        <f t="shared" ref="L3:L66" si="1">"Q"&amp;ROUNDUP(MONTH(C3)/3, 0)</f>
        <v>Q2</v>
      </c>
      <c r="M3" s="3">
        <f t="shared" ref="M3:M66" si="2">MONTH(C3)</f>
        <v>4</v>
      </c>
      <c r="N3" s="3" t="str">
        <f t="shared" ref="N3:N66" si="3">TEXT(C3, "MMM")</f>
        <v>Apr</v>
      </c>
      <c r="O3" s="3">
        <f t="shared" ref="O3:O66" si="4">WEEKNUM(C3,2)</f>
        <v>14</v>
      </c>
      <c r="P3" s="3">
        <f t="shared" ref="P3:P66" si="5">WEEKDAY(C3,2)</f>
        <v>4</v>
      </c>
      <c r="Q3" s="3" t="str">
        <f t="shared" ref="Q3:Q66" si="6">TEXT(C3, "DDD")</f>
        <v>Thu</v>
      </c>
    </row>
    <row r="4" spans="1:17" x14ac:dyDescent="0.3">
      <c r="A4" s="7" t="s">
        <v>11</v>
      </c>
      <c r="B4" s="7">
        <v>550</v>
      </c>
      <c r="C4" s="8">
        <v>45751</v>
      </c>
      <c r="D4" s="9">
        <v>9</v>
      </c>
      <c r="E4" s="9">
        <v>4950</v>
      </c>
      <c r="F4" s="8">
        <v>45751</v>
      </c>
      <c r="G4" s="9">
        <v>8.4499999999999993</v>
      </c>
      <c r="H4" s="9">
        <v>4647.5</v>
      </c>
      <c r="I4" s="9">
        <v>-302.5</v>
      </c>
      <c r="J4" s="15" t="str">
        <f>IF([1]!Fo_SUMMARY[[#This Row],[Realized P&amp;L]]&gt;0, "Realized Profit", "Realized Loss")</f>
        <v>Realized Loss</v>
      </c>
      <c r="K4" s="3">
        <f t="shared" si="0"/>
        <v>2</v>
      </c>
      <c r="L4" s="3" t="str">
        <f t="shared" si="1"/>
        <v>Q2</v>
      </c>
      <c r="M4" s="3">
        <f t="shared" si="2"/>
        <v>4</v>
      </c>
      <c r="N4" s="3" t="str">
        <f t="shared" si="3"/>
        <v>Apr</v>
      </c>
      <c r="O4" s="3">
        <f t="shared" si="4"/>
        <v>14</v>
      </c>
      <c r="P4" s="3">
        <f t="shared" si="5"/>
        <v>5</v>
      </c>
      <c r="Q4" s="3" t="str">
        <f t="shared" si="6"/>
        <v>Fri</v>
      </c>
    </row>
    <row r="5" spans="1:17" x14ac:dyDescent="0.3">
      <c r="A5" s="7" t="s">
        <v>12</v>
      </c>
      <c r="B5" s="7">
        <v>500</v>
      </c>
      <c r="C5" s="8">
        <v>45751</v>
      </c>
      <c r="D5" s="9">
        <v>12.95</v>
      </c>
      <c r="E5" s="9">
        <v>6475</v>
      </c>
      <c r="F5" s="8">
        <v>45751</v>
      </c>
      <c r="G5" s="9">
        <v>13.25</v>
      </c>
      <c r="H5" s="9">
        <v>6625</v>
      </c>
      <c r="I5" s="9">
        <v>150</v>
      </c>
      <c r="J5" s="15" t="str">
        <f>IF([1]!Fo_SUMMARY[[#This Row],[Realized P&amp;L]]&gt;0, "Realized Profit", "Realized Loss")</f>
        <v>Realized Profit</v>
      </c>
      <c r="K5" s="3">
        <f t="shared" si="0"/>
        <v>2</v>
      </c>
      <c r="L5" s="3" t="str">
        <f t="shared" si="1"/>
        <v>Q2</v>
      </c>
      <c r="M5" s="3">
        <f t="shared" si="2"/>
        <v>4</v>
      </c>
      <c r="N5" s="3" t="str">
        <f t="shared" si="3"/>
        <v>Apr</v>
      </c>
      <c r="O5" s="3">
        <f t="shared" si="4"/>
        <v>14</v>
      </c>
      <c r="P5" s="3">
        <f t="shared" si="5"/>
        <v>5</v>
      </c>
      <c r="Q5" s="3" t="str">
        <f t="shared" si="6"/>
        <v>Fri</v>
      </c>
    </row>
    <row r="6" spans="1:17" x14ac:dyDescent="0.3">
      <c r="A6" s="7" t="s">
        <v>13</v>
      </c>
      <c r="B6" s="7">
        <v>550</v>
      </c>
      <c r="C6" s="8">
        <v>45751</v>
      </c>
      <c r="D6" s="9">
        <v>7</v>
      </c>
      <c r="E6" s="9">
        <v>3850</v>
      </c>
      <c r="F6" s="8">
        <v>45751</v>
      </c>
      <c r="G6" s="9">
        <v>9.3000000000000007</v>
      </c>
      <c r="H6" s="9">
        <v>5115</v>
      </c>
      <c r="I6" s="9">
        <v>1265</v>
      </c>
      <c r="J6" s="15" t="str">
        <f>IF([1]!Fo_SUMMARY[[#This Row],[Realized P&amp;L]]&gt;0, "Realized Profit", "Realized Loss")</f>
        <v>Realized Profit</v>
      </c>
      <c r="K6" s="3">
        <f t="shared" si="0"/>
        <v>2</v>
      </c>
      <c r="L6" s="3" t="str">
        <f t="shared" si="1"/>
        <v>Q2</v>
      </c>
      <c r="M6" s="3">
        <f t="shared" si="2"/>
        <v>4</v>
      </c>
      <c r="N6" s="3" t="str">
        <f t="shared" si="3"/>
        <v>Apr</v>
      </c>
      <c r="O6" s="3">
        <f t="shared" si="4"/>
        <v>14</v>
      </c>
      <c r="P6" s="3">
        <f t="shared" si="5"/>
        <v>5</v>
      </c>
      <c r="Q6" s="3" t="str">
        <f t="shared" si="6"/>
        <v>Fri</v>
      </c>
    </row>
    <row r="7" spans="1:17" x14ac:dyDescent="0.3">
      <c r="A7" s="7" t="s">
        <v>13</v>
      </c>
      <c r="B7" s="7">
        <v>550</v>
      </c>
      <c r="C7" s="8">
        <v>45751</v>
      </c>
      <c r="D7" s="9">
        <v>10.75</v>
      </c>
      <c r="E7" s="9">
        <v>5912.5</v>
      </c>
      <c r="F7" s="8">
        <v>45751</v>
      </c>
      <c r="G7" s="9">
        <v>9.8000000000000007</v>
      </c>
      <c r="H7" s="9">
        <v>5390</v>
      </c>
      <c r="I7" s="9">
        <v>-522.5</v>
      </c>
      <c r="J7" s="15" t="str">
        <f>IF([1]!Fo_SUMMARY[[#This Row],[Realized P&amp;L]]&gt;0, "Realized Profit", "Realized Loss")</f>
        <v>Realized Loss</v>
      </c>
      <c r="K7" s="3">
        <f t="shared" si="0"/>
        <v>2</v>
      </c>
      <c r="L7" s="3" t="str">
        <f t="shared" si="1"/>
        <v>Q2</v>
      </c>
      <c r="M7" s="3">
        <f t="shared" si="2"/>
        <v>4</v>
      </c>
      <c r="N7" s="3" t="str">
        <f t="shared" si="3"/>
        <v>Apr</v>
      </c>
      <c r="O7" s="3">
        <f t="shared" si="4"/>
        <v>14</v>
      </c>
      <c r="P7" s="3">
        <f t="shared" si="5"/>
        <v>5</v>
      </c>
      <c r="Q7" s="3" t="str">
        <f t="shared" si="6"/>
        <v>Fri</v>
      </c>
    </row>
    <row r="8" spans="1:17" x14ac:dyDescent="0.3">
      <c r="A8" s="7" t="s">
        <v>9</v>
      </c>
      <c r="B8" s="7">
        <v>550</v>
      </c>
      <c r="C8" s="8">
        <v>45754</v>
      </c>
      <c r="D8" s="9">
        <v>7.75</v>
      </c>
      <c r="E8" s="9">
        <v>4262.5</v>
      </c>
      <c r="F8" s="8">
        <v>45754</v>
      </c>
      <c r="G8" s="9">
        <v>9</v>
      </c>
      <c r="H8" s="9">
        <v>4950</v>
      </c>
      <c r="I8" s="9">
        <v>687.5</v>
      </c>
      <c r="J8" s="15" t="str">
        <f>IF([1]!Fo_SUMMARY[[#This Row],[Realized P&amp;L]]&gt;0, "Realized Profit", "Realized Loss")</f>
        <v>Realized Profit</v>
      </c>
      <c r="K8" s="3">
        <f t="shared" si="0"/>
        <v>2</v>
      </c>
      <c r="L8" s="3" t="str">
        <f t="shared" si="1"/>
        <v>Q2</v>
      </c>
      <c r="M8" s="3">
        <f t="shared" si="2"/>
        <v>4</v>
      </c>
      <c r="N8" s="3" t="str">
        <f t="shared" si="3"/>
        <v>Apr</v>
      </c>
      <c r="O8" s="3">
        <f t="shared" si="4"/>
        <v>15</v>
      </c>
      <c r="P8" s="3">
        <f t="shared" si="5"/>
        <v>1</v>
      </c>
      <c r="Q8" s="3" t="str">
        <f t="shared" si="6"/>
        <v>Mon</v>
      </c>
    </row>
    <row r="9" spans="1:17" x14ac:dyDescent="0.3">
      <c r="A9" s="7" t="s">
        <v>14</v>
      </c>
      <c r="B9" s="7">
        <v>700</v>
      </c>
      <c r="C9" s="8">
        <v>45754</v>
      </c>
      <c r="D9" s="9">
        <v>8.6999999999999993</v>
      </c>
      <c r="E9" s="9">
        <v>6090</v>
      </c>
      <c r="F9" s="8">
        <v>45754</v>
      </c>
      <c r="G9" s="9">
        <v>9.5</v>
      </c>
      <c r="H9" s="9">
        <v>6650</v>
      </c>
      <c r="I9" s="9">
        <v>560</v>
      </c>
      <c r="J9" s="15" t="str">
        <f>IF([1]!Fo_SUMMARY[[#This Row],[Realized P&amp;L]]&gt;0, "Realized Profit", "Realized Loss")</f>
        <v>Realized Profit</v>
      </c>
      <c r="K9" s="3">
        <f t="shared" si="0"/>
        <v>2</v>
      </c>
      <c r="L9" s="3" t="str">
        <f t="shared" si="1"/>
        <v>Q2</v>
      </c>
      <c r="M9" s="3">
        <f t="shared" si="2"/>
        <v>4</v>
      </c>
      <c r="N9" s="3" t="str">
        <f t="shared" si="3"/>
        <v>Apr</v>
      </c>
      <c r="O9" s="3">
        <f t="shared" si="4"/>
        <v>15</v>
      </c>
      <c r="P9" s="3">
        <f t="shared" si="5"/>
        <v>1</v>
      </c>
      <c r="Q9" s="3" t="str">
        <f t="shared" si="6"/>
        <v>Mon</v>
      </c>
    </row>
    <row r="10" spans="1:17" x14ac:dyDescent="0.3">
      <c r="A10" s="7" t="s">
        <v>15</v>
      </c>
      <c r="B10" s="7">
        <v>700</v>
      </c>
      <c r="C10" s="8">
        <v>45755</v>
      </c>
      <c r="D10" s="9">
        <v>10</v>
      </c>
      <c r="E10" s="9">
        <v>7000</v>
      </c>
      <c r="F10" s="8">
        <v>45755</v>
      </c>
      <c r="G10" s="9">
        <v>8.1999999999999993</v>
      </c>
      <c r="H10" s="9">
        <v>5740</v>
      </c>
      <c r="I10" s="9">
        <v>-1260</v>
      </c>
      <c r="J10" s="15" t="str">
        <f>IF([1]!Fo_SUMMARY[[#This Row],[Realized P&amp;L]]&gt;0, "Realized Profit", "Realized Loss")</f>
        <v>Realized Loss</v>
      </c>
      <c r="K10" s="3">
        <f t="shared" si="0"/>
        <v>2</v>
      </c>
      <c r="L10" s="3" t="str">
        <f t="shared" si="1"/>
        <v>Q2</v>
      </c>
      <c r="M10" s="3">
        <f t="shared" si="2"/>
        <v>4</v>
      </c>
      <c r="N10" s="3" t="str">
        <f t="shared" si="3"/>
        <v>Apr</v>
      </c>
      <c r="O10" s="3">
        <f t="shared" si="4"/>
        <v>15</v>
      </c>
      <c r="P10" s="3">
        <f t="shared" si="5"/>
        <v>2</v>
      </c>
      <c r="Q10" s="3" t="str">
        <f t="shared" si="6"/>
        <v>Tue</v>
      </c>
    </row>
    <row r="11" spans="1:17" x14ac:dyDescent="0.3">
      <c r="A11" s="7" t="s">
        <v>16</v>
      </c>
      <c r="B11" s="7">
        <v>750</v>
      </c>
      <c r="C11" s="8">
        <v>45755</v>
      </c>
      <c r="D11" s="9">
        <v>8.35</v>
      </c>
      <c r="E11" s="9">
        <v>6262.5</v>
      </c>
      <c r="F11" s="8">
        <v>45755</v>
      </c>
      <c r="G11" s="9">
        <v>7.2</v>
      </c>
      <c r="H11" s="9">
        <v>5400</v>
      </c>
      <c r="I11" s="9">
        <v>-862.5</v>
      </c>
      <c r="J11" s="15" t="str">
        <f>IF([1]!Fo_SUMMARY[[#This Row],[Realized P&amp;L]]&gt;0, "Realized Profit", "Realized Loss")</f>
        <v>Realized Loss</v>
      </c>
      <c r="K11" s="3">
        <f t="shared" si="0"/>
        <v>2</v>
      </c>
      <c r="L11" s="3" t="str">
        <f t="shared" si="1"/>
        <v>Q2</v>
      </c>
      <c r="M11" s="3">
        <f t="shared" si="2"/>
        <v>4</v>
      </c>
      <c r="N11" s="3" t="str">
        <f t="shared" si="3"/>
        <v>Apr</v>
      </c>
      <c r="O11" s="3">
        <f t="shared" si="4"/>
        <v>15</v>
      </c>
      <c r="P11" s="3">
        <f t="shared" si="5"/>
        <v>2</v>
      </c>
      <c r="Q11" s="3" t="str">
        <f t="shared" si="6"/>
        <v>Tue</v>
      </c>
    </row>
    <row r="12" spans="1:17" x14ac:dyDescent="0.3">
      <c r="A12" s="7" t="s">
        <v>17</v>
      </c>
      <c r="B12" s="7">
        <v>750</v>
      </c>
      <c r="C12" s="8">
        <v>45755</v>
      </c>
      <c r="D12" s="9">
        <v>6.45</v>
      </c>
      <c r="E12" s="9">
        <v>4837.5</v>
      </c>
      <c r="F12" s="8">
        <v>45755</v>
      </c>
      <c r="G12" s="9">
        <v>7.5</v>
      </c>
      <c r="H12" s="9">
        <v>5625</v>
      </c>
      <c r="I12" s="9">
        <v>787.5</v>
      </c>
      <c r="J12" s="15" t="str">
        <f>IF([1]!Fo_SUMMARY[[#This Row],[Realized P&amp;L]]&gt;0, "Realized Profit", "Realized Loss")</f>
        <v>Realized Profit</v>
      </c>
      <c r="K12" s="3">
        <f t="shared" si="0"/>
        <v>2</v>
      </c>
      <c r="L12" s="3" t="str">
        <f t="shared" si="1"/>
        <v>Q2</v>
      </c>
      <c r="M12" s="3">
        <f t="shared" si="2"/>
        <v>4</v>
      </c>
      <c r="N12" s="3" t="str">
        <f t="shared" si="3"/>
        <v>Apr</v>
      </c>
      <c r="O12" s="3">
        <f t="shared" si="4"/>
        <v>15</v>
      </c>
      <c r="P12" s="3">
        <f t="shared" si="5"/>
        <v>2</v>
      </c>
      <c r="Q12" s="3" t="str">
        <f t="shared" si="6"/>
        <v>Tue</v>
      </c>
    </row>
    <row r="13" spans="1:17" x14ac:dyDescent="0.3">
      <c r="A13" s="7" t="s">
        <v>18</v>
      </c>
      <c r="B13" s="7">
        <v>550</v>
      </c>
      <c r="C13" s="8">
        <v>45755</v>
      </c>
      <c r="D13" s="9">
        <v>10.8</v>
      </c>
      <c r="E13" s="9">
        <v>5940</v>
      </c>
      <c r="F13" s="8">
        <v>45755</v>
      </c>
      <c r="G13" s="9">
        <v>10.5</v>
      </c>
      <c r="H13" s="9">
        <v>5775</v>
      </c>
      <c r="I13" s="9">
        <v>-165</v>
      </c>
      <c r="J13" s="15" t="str">
        <f>IF([1]!Fo_SUMMARY[[#This Row],[Realized P&amp;L]]&gt;0, "Realized Profit", "Realized Loss")</f>
        <v>Realized Loss</v>
      </c>
      <c r="K13" s="3">
        <f t="shared" si="0"/>
        <v>2</v>
      </c>
      <c r="L13" s="3" t="str">
        <f t="shared" si="1"/>
        <v>Q2</v>
      </c>
      <c r="M13" s="3">
        <f t="shared" si="2"/>
        <v>4</v>
      </c>
      <c r="N13" s="3" t="str">
        <f t="shared" si="3"/>
        <v>Apr</v>
      </c>
      <c r="O13" s="3">
        <f t="shared" si="4"/>
        <v>15</v>
      </c>
      <c r="P13" s="3">
        <f t="shared" si="5"/>
        <v>2</v>
      </c>
      <c r="Q13" s="3" t="str">
        <f t="shared" si="6"/>
        <v>Tue</v>
      </c>
    </row>
    <row r="14" spans="1:17" x14ac:dyDescent="0.3">
      <c r="A14" s="7" t="s">
        <v>19</v>
      </c>
      <c r="B14" s="7">
        <v>1800</v>
      </c>
      <c r="C14" s="8">
        <v>45756</v>
      </c>
      <c r="D14" s="9">
        <v>3.2</v>
      </c>
      <c r="E14" s="9">
        <v>5760</v>
      </c>
      <c r="F14" s="8">
        <v>45756</v>
      </c>
      <c r="G14" s="9">
        <v>2.0499999999999998</v>
      </c>
      <c r="H14" s="9">
        <v>3690</v>
      </c>
      <c r="I14" s="9">
        <v>-2070</v>
      </c>
      <c r="J14" s="15" t="str">
        <f>IF([1]!Fo_SUMMARY[[#This Row],[Realized P&amp;L]]&gt;0, "Realized Profit", "Realized Loss")</f>
        <v>Realized Loss</v>
      </c>
      <c r="K14" s="3">
        <f t="shared" si="0"/>
        <v>2</v>
      </c>
      <c r="L14" s="3" t="str">
        <f t="shared" si="1"/>
        <v>Q2</v>
      </c>
      <c r="M14" s="3">
        <f t="shared" si="2"/>
        <v>4</v>
      </c>
      <c r="N14" s="3" t="str">
        <f t="shared" si="3"/>
        <v>Apr</v>
      </c>
      <c r="O14" s="3">
        <f t="shared" si="4"/>
        <v>15</v>
      </c>
      <c r="P14" s="3">
        <f t="shared" si="5"/>
        <v>3</v>
      </c>
      <c r="Q14" s="3" t="str">
        <f t="shared" si="6"/>
        <v>Wed</v>
      </c>
    </row>
    <row r="15" spans="1:17" x14ac:dyDescent="0.3">
      <c r="A15" s="7" t="s">
        <v>20</v>
      </c>
      <c r="B15" s="7">
        <v>500</v>
      </c>
      <c r="C15" s="8">
        <v>45758</v>
      </c>
      <c r="D15" s="9">
        <v>7.4</v>
      </c>
      <c r="E15" s="9">
        <v>3700</v>
      </c>
      <c r="F15" s="8">
        <v>45758</v>
      </c>
      <c r="G15" s="9">
        <v>6.7</v>
      </c>
      <c r="H15" s="9">
        <v>3350</v>
      </c>
      <c r="I15" s="9">
        <v>-350</v>
      </c>
      <c r="J15" s="15" t="str">
        <f>IF([1]!Fo_SUMMARY[[#This Row],[Realized P&amp;L]]&gt;0, "Realized Profit", "Realized Loss")</f>
        <v>Realized Loss</v>
      </c>
      <c r="K15" s="3">
        <f t="shared" si="0"/>
        <v>2</v>
      </c>
      <c r="L15" s="3" t="str">
        <f t="shared" si="1"/>
        <v>Q2</v>
      </c>
      <c r="M15" s="3">
        <f t="shared" si="2"/>
        <v>4</v>
      </c>
      <c r="N15" s="3" t="str">
        <f t="shared" si="3"/>
        <v>Apr</v>
      </c>
      <c r="O15" s="3">
        <f t="shared" si="4"/>
        <v>15</v>
      </c>
      <c r="P15" s="3">
        <f t="shared" si="5"/>
        <v>5</v>
      </c>
      <c r="Q15" s="3" t="str">
        <f t="shared" si="6"/>
        <v>Fri</v>
      </c>
    </row>
    <row r="16" spans="1:17" x14ac:dyDescent="0.3">
      <c r="A16" s="7" t="s">
        <v>20</v>
      </c>
      <c r="B16" s="7">
        <v>500</v>
      </c>
      <c r="C16" s="8">
        <v>45758</v>
      </c>
      <c r="D16" s="9">
        <v>7.1</v>
      </c>
      <c r="E16" s="9">
        <v>3550</v>
      </c>
      <c r="F16" s="8">
        <v>45758</v>
      </c>
      <c r="G16" s="9">
        <v>7.35</v>
      </c>
      <c r="H16" s="9">
        <v>3675</v>
      </c>
      <c r="I16" s="9">
        <v>125</v>
      </c>
      <c r="J16" s="15" t="str">
        <f>IF([1]!Fo_SUMMARY[[#This Row],[Realized P&amp;L]]&gt;0, "Realized Profit", "Realized Loss")</f>
        <v>Realized Profit</v>
      </c>
      <c r="K16" s="3">
        <f t="shared" si="0"/>
        <v>2</v>
      </c>
      <c r="L16" s="3" t="str">
        <f t="shared" si="1"/>
        <v>Q2</v>
      </c>
      <c r="M16" s="3">
        <f t="shared" si="2"/>
        <v>4</v>
      </c>
      <c r="N16" s="3" t="str">
        <f t="shared" si="3"/>
        <v>Apr</v>
      </c>
      <c r="O16" s="3">
        <f t="shared" si="4"/>
        <v>15</v>
      </c>
      <c r="P16" s="3">
        <f t="shared" si="5"/>
        <v>5</v>
      </c>
      <c r="Q16" s="3" t="str">
        <f t="shared" si="6"/>
        <v>Fri</v>
      </c>
    </row>
    <row r="17" spans="1:17" x14ac:dyDescent="0.3">
      <c r="A17" s="7" t="s">
        <v>11</v>
      </c>
      <c r="B17" s="7">
        <v>550</v>
      </c>
      <c r="C17" s="8">
        <v>45758</v>
      </c>
      <c r="D17" s="9">
        <v>5.95</v>
      </c>
      <c r="E17" s="9">
        <v>3272.5</v>
      </c>
      <c r="F17" s="8">
        <v>45762</v>
      </c>
      <c r="G17" s="9">
        <v>13.95</v>
      </c>
      <c r="H17" s="9">
        <v>7672.5</v>
      </c>
      <c r="I17" s="9">
        <v>4400</v>
      </c>
      <c r="J17" s="15" t="str">
        <f>IF([1]!Fo_SUMMARY[[#This Row],[Realized P&amp;L]]&gt;0, "Realized Profit", "Realized Loss")</f>
        <v>Realized Profit</v>
      </c>
      <c r="K17" s="3">
        <f t="shared" si="0"/>
        <v>2</v>
      </c>
      <c r="L17" s="3" t="str">
        <f t="shared" si="1"/>
        <v>Q2</v>
      </c>
      <c r="M17" s="3">
        <f t="shared" si="2"/>
        <v>4</v>
      </c>
      <c r="N17" s="3" t="str">
        <f t="shared" si="3"/>
        <v>Apr</v>
      </c>
      <c r="O17" s="3">
        <f t="shared" si="4"/>
        <v>15</v>
      </c>
      <c r="P17" s="3">
        <f t="shared" si="5"/>
        <v>5</v>
      </c>
      <c r="Q17" s="3" t="str">
        <f t="shared" si="6"/>
        <v>Fri</v>
      </c>
    </row>
    <row r="18" spans="1:17" x14ac:dyDescent="0.3">
      <c r="A18" s="7" t="s">
        <v>21</v>
      </c>
      <c r="B18" s="7">
        <v>625</v>
      </c>
      <c r="C18" s="8">
        <v>45763</v>
      </c>
      <c r="D18" s="9">
        <v>10</v>
      </c>
      <c r="E18" s="9">
        <v>6250</v>
      </c>
      <c r="F18" s="8">
        <v>45763</v>
      </c>
      <c r="G18" s="9">
        <v>11</v>
      </c>
      <c r="H18" s="9">
        <v>6875</v>
      </c>
      <c r="I18" s="9">
        <v>625</v>
      </c>
      <c r="J18" s="15" t="str">
        <f>IF([1]!Fo_SUMMARY[[#This Row],[Realized P&amp;L]]&gt;0, "Realized Profit", "Realized Loss")</f>
        <v>Realized Profit</v>
      </c>
      <c r="K18" s="3">
        <f t="shared" si="0"/>
        <v>2</v>
      </c>
      <c r="L18" s="3" t="str">
        <f t="shared" si="1"/>
        <v>Q2</v>
      </c>
      <c r="M18" s="3">
        <f t="shared" si="2"/>
        <v>4</v>
      </c>
      <c r="N18" s="3" t="str">
        <f t="shared" si="3"/>
        <v>Apr</v>
      </c>
      <c r="O18" s="3">
        <f t="shared" si="4"/>
        <v>16</v>
      </c>
      <c r="P18" s="3">
        <f t="shared" si="5"/>
        <v>3</v>
      </c>
      <c r="Q18" s="3" t="str">
        <f t="shared" si="6"/>
        <v>Wed</v>
      </c>
    </row>
    <row r="19" spans="1:17" x14ac:dyDescent="0.3">
      <c r="A19" s="7" t="s">
        <v>22</v>
      </c>
      <c r="B19" s="7">
        <v>625</v>
      </c>
      <c r="C19" s="8">
        <v>45763</v>
      </c>
      <c r="D19" s="9">
        <v>9</v>
      </c>
      <c r="E19" s="9">
        <v>5625</v>
      </c>
      <c r="F19" s="8">
        <v>45763</v>
      </c>
      <c r="G19" s="9">
        <v>10</v>
      </c>
      <c r="H19" s="9">
        <v>6250</v>
      </c>
      <c r="I19" s="9">
        <v>625</v>
      </c>
      <c r="J19" s="15" t="str">
        <f>IF([1]!Fo_SUMMARY[[#This Row],[Realized P&amp;L]]&gt;0, "Realized Profit", "Realized Loss")</f>
        <v>Realized Profit</v>
      </c>
      <c r="K19" s="3">
        <f t="shared" si="0"/>
        <v>2</v>
      </c>
      <c r="L19" s="3" t="str">
        <f t="shared" si="1"/>
        <v>Q2</v>
      </c>
      <c r="M19" s="3">
        <f t="shared" si="2"/>
        <v>4</v>
      </c>
      <c r="N19" s="3" t="str">
        <f t="shared" si="3"/>
        <v>Apr</v>
      </c>
      <c r="O19" s="3">
        <f t="shared" si="4"/>
        <v>16</v>
      </c>
      <c r="P19" s="3">
        <f t="shared" si="5"/>
        <v>3</v>
      </c>
      <c r="Q19" s="3" t="str">
        <f t="shared" si="6"/>
        <v>Wed</v>
      </c>
    </row>
    <row r="20" spans="1:17" x14ac:dyDescent="0.3">
      <c r="A20" s="7" t="s">
        <v>23</v>
      </c>
      <c r="B20" s="7">
        <v>550</v>
      </c>
      <c r="C20" s="8">
        <v>45763</v>
      </c>
      <c r="D20" s="9">
        <v>7.1</v>
      </c>
      <c r="E20" s="9">
        <v>3905</v>
      </c>
      <c r="F20" s="8">
        <v>45763</v>
      </c>
      <c r="G20" s="9">
        <v>6.5</v>
      </c>
      <c r="H20" s="9">
        <v>3575</v>
      </c>
      <c r="I20" s="9">
        <v>-330</v>
      </c>
      <c r="J20" s="15" t="str">
        <f>IF([1]!Fo_SUMMARY[[#This Row],[Realized P&amp;L]]&gt;0, "Realized Profit", "Realized Loss")</f>
        <v>Realized Loss</v>
      </c>
      <c r="K20" s="3">
        <f t="shared" si="0"/>
        <v>2</v>
      </c>
      <c r="L20" s="3" t="str">
        <f t="shared" si="1"/>
        <v>Q2</v>
      </c>
      <c r="M20" s="3">
        <f t="shared" si="2"/>
        <v>4</v>
      </c>
      <c r="N20" s="3" t="str">
        <f t="shared" si="3"/>
        <v>Apr</v>
      </c>
      <c r="O20" s="3">
        <f t="shared" si="4"/>
        <v>16</v>
      </c>
      <c r="P20" s="3">
        <f t="shared" si="5"/>
        <v>3</v>
      </c>
      <c r="Q20" s="3" t="str">
        <f t="shared" si="6"/>
        <v>Wed</v>
      </c>
    </row>
    <row r="21" spans="1:17" x14ac:dyDescent="0.3">
      <c r="A21" s="7" t="s">
        <v>24</v>
      </c>
      <c r="B21" s="7">
        <v>700</v>
      </c>
      <c r="C21" s="8">
        <v>45764</v>
      </c>
      <c r="D21" s="9">
        <v>3.45</v>
      </c>
      <c r="E21" s="9">
        <v>2415</v>
      </c>
      <c r="F21" s="8">
        <v>45764</v>
      </c>
      <c r="G21" s="9">
        <v>4.45</v>
      </c>
      <c r="H21" s="9">
        <v>3115</v>
      </c>
      <c r="I21" s="9">
        <v>700</v>
      </c>
      <c r="J21" s="15" t="str">
        <f>IF([1]!Fo_SUMMARY[[#This Row],[Realized P&amp;L]]&gt;0, "Realized Profit", "Realized Loss")</f>
        <v>Realized Profit</v>
      </c>
      <c r="K21" s="3">
        <f t="shared" si="0"/>
        <v>2</v>
      </c>
      <c r="L21" s="3" t="str">
        <f t="shared" si="1"/>
        <v>Q2</v>
      </c>
      <c r="M21" s="3">
        <f t="shared" si="2"/>
        <v>4</v>
      </c>
      <c r="N21" s="3" t="str">
        <f t="shared" si="3"/>
        <v>Apr</v>
      </c>
      <c r="O21" s="3">
        <f t="shared" si="4"/>
        <v>16</v>
      </c>
      <c r="P21" s="3">
        <f t="shared" si="5"/>
        <v>4</v>
      </c>
      <c r="Q21" s="3" t="str">
        <f t="shared" si="6"/>
        <v>Thu</v>
      </c>
    </row>
    <row r="22" spans="1:17" x14ac:dyDescent="0.3">
      <c r="A22" s="7" t="s">
        <v>25</v>
      </c>
      <c r="B22" s="7">
        <v>625</v>
      </c>
      <c r="C22" s="8">
        <v>45764</v>
      </c>
      <c r="D22" s="9">
        <v>3.35</v>
      </c>
      <c r="E22" s="9">
        <v>2093.75</v>
      </c>
      <c r="F22" s="8">
        <v>45768</v>
      </c>
      <c r="G22" s="9">
        <v>6.5</v>
      </c>
      <c r="H22" s="9">
        <v>4062.5</v>
      </c>
      <c r="I22" s="9">
        <v>1968.75</v>
      </c>
      <c r="J22" s="15" t="str">
        <f>IF([1]!Fo_SUMMARY[[#This Row],[Realized P&amp;L]]&gt;0, "Realized Profit", "Realized Loss")</f>
        <v>Realized Profit</v>
      </c>
      <c r="K22" s="3">
        <f t="shared" si="0"/>
        <v>2</v>
      </c>
      <c r="L22" s="3" t="str">
        <f t="shared" si="1"/>
        <v>Q2</v>
      </c>
      <c r="M22" s="3">
        <f t="shared" si="2"/>
        <v>4</v>
      </c>
      <c r="N22" s="3" t="str">
        <f t="shared" si="3"/>
        <v>Apr</v>
      </c>
      <c r="O22" s="3">
        <f t="shared" si="4"/>
        <v>16</v>
      </c>
      <c r="P22" s="3">
        <f t="shared" si="5"/>
        <v>4</v>
      </c>
      <c r="Q22" s="3" t="str">
        <f t="shared" si="6"/>
        <v>Thu</v>
      </c>
    </row>
    <row r="23" spans="1:17" x14ac:dyDescent="0.3">
      <c r="A23" s="7" t="s">
        <v>26</v>
      </c>
      <c r="B23" s="7">
        <v>625</v>
      </c>
      <c r="C23" s="8">
        <v>45768</v>
      </c>
      <c r="D23" s="9">
        <v>6.8</v>
      </c>
      <c r="E23" s="9">
        <v>4250</v>
      </c>
      <c r="F23" s="8">
        <v>45768</v>
      </c>
      <c r="G23" s="9">
        <v>3</v>
      </c>
      <c r="H23" s="9">
        <v>1875</v>
      </c>
      <c r="I23" s="9">
        <v>-2375</v>
      </c>
      <c r="J23" s="15" t="str">
        <f>IF([1]!Fo_SUMMARY[[#This Row],[Realized P&amp;L]]&gt;0, "Realized Profit", "Realized Loss")</f>
        <v>Realized Loss</v>
      </c>
      <c r="K23" s="3">
        <f t="shared" si="0"/>
        <v>2</v>
      </c>
      <c r="L23" s="3" t="str">
        <f t="shared" si="1"/>
        <v>Q2</v>
      </c>
      <c r="M23" s="3">
        <f t="shared" si="2"/>
        <v>4</v>
      </c>
      <c r="N23" s="3" t="str">
        <f t="shared" si="3"/>
        <v>Apr</v>
      </c>
      <c r="O23" s="3">
        <f t="shared" si="4"/>
        <v>17</v>
      </c>
      <c r="P23" s="3">
        <f t="shared" si="5"/>
        <v>1</v>
      </c>
      <c r="Q23" s="3" t="str">
        <f t="shared" si="6"/>
        <v>Mon</v>
      </c>
    </row>
    <row r="24" spans="1:17" x14ac:dyDescent="0.3">
      <c r="A24" s="7" t="s">
        <v>27</v>
      </c>
      <c r="B24" s="7">
        <v>550</v>
      </c>
      <c r="C24" s="8">
        <v>45769</v>
      </c>
      <c r="D24" s="9">
        <v>4.3</v>
      </c>
      <c r="E24" s="9">
        <v>2365</v>
      </c>
      <c r="F24" s="8">
        <v>45769</v>
      </c>
      <c r="G24" s="9">
        <v>6.5</v>
      </c>
      <c r="H24" s="9">
        <v>3575</v>
      </c>
      <c r="I24" s="9">
        <v>1210</v>
      </c>
      <c r="J24" s="15" t="str">
        <f>IF([1]!Fo_SUMMARY[[#This Row],[Realized P&amp;L]]&gt;0, "Realized Profit", "Realized Loss")</f>
        <v>Realized Profit</v>
      </c>
      <c r="K24" s="3">
        <f t="shared" si="0"/>
        <v>2</v>
      </c>
      <c r="L24" s="3" t="str">
        <f t="shared" si="1"/>
        <v>Q2</v>
      </c>
      <c r="M24" s="3">
        <f t="shared" si="2"/>
        <v>4</v>
      </c>
      <c r="N24" s="3" t="str">
        <f t="shared" si="3"/>
        <v>Apr</v>
      </c>
      <c r="O24" s="3">
        <f t="shared" si="4"/>
        <v>17</v>
      </c>
      <c r="P24" s="3">
        <f t="shared" si="5"/>
        <v>2</v>
      </c>
      <c r="Q24" s="3" t="str">
        <f t="shared" si="6"/>
        <v>Tue</v>
      </c>
    </row>
    <row r="25" spans="1:17" x14ac:dyDescent="0.3">
      <c r="A25" s="7" t="s">
        <v>28</v>
      </c>
      <c r="B25" s="7">
        <v>750</v>
      </c>
      <c r="C25" s="8">
        <v>45769</v>
      </c>
      <c r="D25" s="9">
        <v>3</v>
      </c>
      <c r="E25" s="9">
        <v>2250</v>
      </c>
      <c r="F25" s="8">
        <v>45769</v>
      </c>
      <c r="G25" s="9">
        <v>1.4</v>
      </c>
      <c r="H25" s="9">
        <v>1050</v>
      </c>
      <c r="I25" s="9">
        <v>-1200</v>
      </c>
      <c r="J25" s="15" t="str">
        <f>IF([1]!Fo_SUMMARY[[#This Row],[Realized P&amp;L]]&gt;0, "Realized Profit", "Realized Loss")</f>
        <v>Realized Loss</v>
      </c>
      <c r="K25" s="3">
        <f t="shared" si="0"/>
        <v>2</v>
      </c>
      <c r="L25" s="3" t="str">
        <f t="shared" si="1"/>
        <v>Q2</v>
      </c>
      <c r="M25" s="3">
        <f t="shared" si="2"/>
        <v>4</v>
      </c>
      <c r="N25" s="3" t="str">
        <f t="shared" si="3"/>
        <v>Apr</v>
      </c>
      <c r="O25" s="3">
        <f t="shared" si="4"/>
        <v>17</v>
      </c>
      <c r="P25" s="3">
        <f t="shared" si="5"/>
        <v>2</v>
      </c>
      <c r="Q25" s="3" t="str">
        <f t="shared" si="6"/>
        <v>Tue</v>
      </c>
    </row>
    <row r="26" spans="1:17" x14ac:dyDescent="0.3">
      <c r="A26" s="7" t="s">
        <v>29</v>
      </c>
      <c r="B26" s="7">
        <v>550</v>
      </c>
      <c r="C26" s="8">
        <v>45770</v>
      </c>
      <c r="D26" s="9">
        <v>1.7</v>
      </c>
      <c r="E26" s="9">
        <v>935</v>
      </c>
      <c r="F26" s="8">
        <v>45770</v>
      </c>
      <c r="G26" s="9">
        <v>1.4</v>
      </c>
      <c r="H26" s="9">
        <v>770</v>
      </c>
      <c r="I26" s="9">
        <v>-165</v>
      </c>
      <c r="J26" s="15" t="str">
        <f>IF([1]!Fo_SUMMARY[[#This Row],[Realized P&amp;L]]&gt;0, "Realized Profit", "Realized Loss")</f>
        <v>Realized Loss</v>
      </c>
      <c r="K26" s="3">
        <f t="shared" si="0"/>
        <v>2</v>
      </c>
      <c r="L26" s="3" t="str">
        <f t="shared" si="1"/>
        <v>Q2</v>
      </c>
      <c r="M26" s="3">
        <f t="shared" si="2"/>
        <v>4</v>
      </c>
      <c r="N26" s="3" t="str">
        <f t="shared" si="3"/>
        <v>Apr</v>
      </c>
      <c r="O26" s="3">
        <f t="shared" si="4"/>
        <v>17</v>
      </c>
      <c r="P26" s="3">
        <f t="shared" si="5"/>
        <v>3</v>
      </c>
      <c r="Q26" s="3" t="str">
        <f t="shared" si="6"/>
        <v>Wed</v>
      </c>
    </row>
    <row r="27" spans="1:17" x14ac:dyDescent="0.3">
      <c r="A27" s="7" t="s">
        <v>30</v>
      </c>
      <c r="B27" s="7">
        <v>500</v>
      </c>
      <c r="C27" s="8">
        <v>45770</v>
      </c>
      <c r="D27" s="9">
        <v>5</v>
      </c>
      <c r="E27" s="9">
        <v>2500</v>
      </c>
      <c r="F27" s="8">
        <v>45770</v>
      </c>
      <c r="G27" s="9">
        <v>3.35</v>
      </c>
      <c r="H27" s="9">
        <v>1675</v>
      </c>
      <c r="I27" s="9">
        <v>-825</v>
      </c>
      <c r="J27" s="15" t="str">
        <f>IF([1]!Fo_SUMMARY[[#This Row],[Realized P&amp;L]]&gt;0, "Realized Profit", "Realized Loss")</f>
        <v>Realized Loss</v>
      </c>
      <c r="K27" s="3">
        <f t="shared" si="0"/>
        <v>2</v>
      </c>
      <c r="L27" s="3" t="str">
        <f t="shared" si="1"/>
        <v>Q2</v>
      </c>
      <c r="M27" s="3">
        <f t="shared" si="2"/>
        <v>4</v>
      </c>
      <c r="N27" s="3" t="str">
        <f t="shared" si="3"/>
        <v>Apr</v>
      </c>
      <c r="O27" s="3">
        <f t="shared" si="4"/>
        <v>17</v>
      </c>
      <c r="P27" s="3">
        <f t="shared" si="5"/>
        <v>3</v>
      </c>
      <c r="Q27" s="3" t="str">
        <f t="shared" si="6"/>
        <v>Wed</v>
      </c>
    </row>
    <row r="28" spans="1:17" x14ac:dyDescent="0.3">
      <c r="A28" s="7" t="s">
        <v>31</v>
      </c>
      <c r="B28" s="7">
        <v>550</v>
      </c>
      <c r="C28" s="8">
        <v>45770</v>
      </c>
      <c r="D28" s="9">
        <v>3.25</v>
      </c>
      <c r="E28" s="9">
        <v>1787.5</v>
      </c>
      <c r="F28" s="8">
        <v>45770</v>
      </c>
      <c r="G28" s="9">
        <v>4.5</v>
      </c>
      <c r="H28" s="9">
        <v>2475</v>
      </c>
      <c r="I28" s="9">
        <v>687.5</v>
      </c>
      <c r="J28" s="15" t="str">
        <f>IF([1]!Fo_SUMMARY[[#This Row],[Realized P&amp;L]]&gt;0, "Realized Profit", "Realized Loss")</f>
        <v>Realized Profit</v>
      </c>
      <c r="K28" s="3">
        <f t="shared" si="0"/>
        <v>2</v>
      </c>
      <c r="L28" s="3" t="str">
        <f t="shared" si="1"/>
        <v>Q2</v>
      </c>
      <c r="M28" s="3">
        <f t="shared" si="2"/>
        <v>4</v>
      </c>
      <c r="N28" s="3" t="str">
        <f t="shared" si="3"/>
        <v>Apr</v>
      </c>
      <c r="O28" s="3">
        <f t="shared" si="4"/>
        <v>17</v>
      </c>
      <c r="P28" s="3">
        <f t="shared" si="5"/>
        <v>3</v>
      </c>
      <c r="Q28" s="3" t="str">
        <f t="shared" si="6"/>
        <v>Wed</v>
      </c>
    </row>
    <row r="29" spans="1:17" x14ac:dyDescent="0.3">
      <c r="A29" s="7" t="s">
        <v>32</v>
      </c>
      <c r="B29" s="7">
        <v>500</v>
      </c>
      <c r="C29" s="8">
        <v>45772</v>
      </c>
      <c r="D29" s="9">
        <v>3.4</v>
      </c>
      <c r="E29" s="9">
        <v>1700</v>
      </c>
      <c r="F29" s="8">
        <v>45775</v>
      </c>
      <c r="G29" s="9">
        <v>4</v>
      </c>
      <c r="H29" s="9">
        <v>2000</v>
      </c>
      <c r="I29" s="9">
        <v>300</v>
      </c>
      <c r="J29" s="15" t="str">
        <f>IF([1]!Fo_SUMMARY[[#This Row],[Realized P&amp;L]]&gt;0, "Realized Profit", "Realized Loss")</f>
        <v>Realized Profit</v>
      </c>
      <c r="K29" s="3">
        <f t="shared" si="0"/>
        <v>2</v>
      </c>
      <c r="L29" s="3" t="str">
        <f t="shared" si="1"/>
        <v>Q2</v>
      </c>
      <c r="M29" s="3">
        <f t="shared" si="2"/>
        <v>4</v>
      </c>
      <c r="N29" s="3" t="str">
        <f t="shared" si="3"/>
        <v>Apr</v>
      </c>
      <c r="O29" s="3">
        <f t="shared" si="4"/>
        <v>17</v>
      </c>
      <c r="P29" s="3">
        <f t="shared" si="5"/>
        <v>5</v>
      </c>
      <c r="Q29" s="3" t="str">
        <f t="shared" si="6"/>
        <v>Fri</v>
      </c>
    </row>
    <row r="30" spans="1:17" x14ac:dyDescent="0.3">
      <c r="A30" s="7" t="s">
        <v>33</v>
      </c>
      <c r="B30" s="7">
        <v>500</v>
      </c>
      <c r="C30" s="8">
        <v>45776</v>
      </c>
      <c r="D30" s="9">
        <v>4.75</v>
      </c>
      <c r="E30" s="9">
        <v>2375</v>
      </c>
      <c r="F30" s="8">
        <v>45776</v>
      </c>
      <c r="G30" s="9">
        <v>7</v>
      </c>
      <c r="H30" s="9">
        <v>3500</v>
      </c>
      <c r="I30" s="9">
        <v>1125</v>
      </c>
      <c r="J30" s="15" t="str">
        <f>IF([1]!Fo_SUMMARY[[#This Row],[Realized P&amp;L]]&gt;0, "Realized Profit", "Realized Loss")</f>
        <v>Realized Profit</v>
      </c>
      <c r="K30" s="3">
        <f t="shared" si="0"/>
        <v>2</v>
      </c>
      <c r="L30" s="3" t="str">
        <f t="shared" si="1"/>
        <v>Q2</v>
      </c>
      <c r="M30" s="3">
        <f t="shared" si="2"/>
        <v>4</v>
      </c>
      <c r="N30" s="3" t="str">
        <f t="shared" si="3"/>
        <v>Apr</v>
      </c>
      <c r="O30" s="3">
        <f t="shared" si="4"/>
        <v>18</v>
      </c>
      <c r="P30" s="3">
        <f t="shared" si="5"/>
        <v>2</v>
      </c>
      <c r="Q30" s="3" t="str">
        <f t="shared" si="6"/>
        <v>Tue</v>
      </c>
    </row>
    <row r="31" spans="1:17" x14ac:dyDescent="0.3">
      <c r="A31" s="7" t="s">
        <v>34</v>
      </c>
      <c r="B31" s="7">
        <v>550</v>
      </c>
      <c r="C31" s="8">
        <v>45777</v>
      </c>
      <c r="D31" s="9">
        <v>5</v>
      </c>
      <c r="E31" s="9">
        <v>2750</v>
      </c>
      <c r="F31" s="8">
        <v>45779</v>
      </c>
      <c r="G31" s="9">
        <v>4.75</v>
      </c>
      <c r="H31" s="9">
        <v>2612.5</v>
      </c>
      <c r="I31" s="9">
        <v>-137.5</v>
      </c>
      <c r="J31" s="15" t="str">
        <f>IF([1]!Fo_SUMMARY[[#This Row],[Realized P&amp;L]]&gt;0, "Realized Profit", "Realized Loss")</f>
        <v>Realized Loss</v>
      </c>
      <c r="K31" s="3">
        <f t="shared" si="0"/>
        <v>2</v>
      </c>
      <c r="L31" s="3" t="str">
        <f t="shared" si="1"/>
        <v>Q2</v>
      </c>
      <c r="M31" s="3">
        <f t="shared" si="2"/>
        <v>4</v>
      </c>
      <c r="N31" s="3" t="str">
        <f t="shared" si="3"/>
        <v>Apr</v>
      </c>
      <c r="O31" s="3">
        <f t="shared" si="4"/>
        <v>18</v>
      </c>
      <c r="P31" s="3">
        <f t="shared" si="5"/>
        <v>3</v>
      </c>
      <c r="Q31" s="3" t="str">
        <f t="shared" si="6"/>
        <v>Wed</v>
      </c>
    </row>
    <row r="32" spans="1:17" x14ac:dyDescent="0.3">
      <c r="A32" s="7" t="s">
        <v>35</v>
      </c>
      <c r="B32" s="7">
        <v>300</v>
      </c>
      <c r="C32" s="8">
        <v>45782</v>
      </c>
      <c r="D32" s="9">
        <v>28</v>
      </c>
      <c r="E32" s="9">
        <v>8400</v>
      </c>
      <c r="F32" s="8">
        <v>45782</v>
      </c>
      <c r="G32" s="9">
        <v>28.2</v>
      </c>
      <c r="H32" s="9">
        <v>8460</v>
      </c>
      <c r="I32" s="9">
        <v>60</v>
      </c>
      <c r="J32" s="15" t="str">
        <f>IF([1]!Fo_SUMMARY[[#This Row],[Realized P&amp;L]]&gt;0, "Realized Profit", "Realized Loss")</f>
        <v>Realized Profit</v>
      </c>
      <c r="K32" s="3">
        <f t="shared" si="0"/>
        <v>2</v>
      </c>
      <c r="L32" s="3" t="str">
        <f t="shared" si="1"/>
        <v>Q2</v>
      </c>
      <c r="M32" s="3">
        <f t="shared" si="2"/>
        <v>5</v>
      </c>
      <c r="N32" s="3" t="str">
        <f t="shared" si="3"/>
        <v>May</v>
      </c>
      <c r="O32" s="3">
        <f t="shared" si="4"/>
        <v>19</v>
      </c>
      <c r="P32" s="3">
        <f t="shared" si="5"/>
        <v>1</v>
      </c>
      <c r="Q32" s="3" t="str">
        <f t="shared" si="6"/>
        <v>Mon</v>
      </c>
    </row>
    <row r="33" spans="1:17" x14ac:dyDescent="0.3">
      <c r="A33" s="7" t="s">
        <v>35</v>
      </c>
      <c r="B33" s="7">
        <v>300</v>
      </c>
      <c r="C33" s="8">
        <v>45782</v>
      </c>
      <c r="D33" s="9">
        <v>29.8</v>
      </c>
      <c r="E33" s="9">
        <v>8940</v>
      </c>
      <c r="F33" s="8">
        <v>45782</v>
      </c>
      <c r="G33" s="9">
        <v>34</v>
      </c>
      <c r="H33" s="9">
        <v>10200</v>
      </c>
      <c r="I33" s="9">
        <v>1260</v>
      </c>
      <c r="J33" s="15" t="str">
        <f>IF([1]!Fo_SUMMARY[[#This Row],[Realized P&amp;L]]&gt;0, "Realized Profit", "Realized Loss")</f>
        <v>Realized Profit</v>
      </c>
      <c r="K33" s="3">
        <f t="shared" si="0"/>
        <v>2</v>
      </c>
      <c r="L33" s="3" t="str">
        <f t="shared" si="1"/>
        <v>Q2</v>
      </c>
      <c r="M33" s="3">
        <f t="shared" si="2"/>
        <v>5</v>
      </c>
      <c r="N33" s="3" t="str">
        <f t="shared" si="3"/>
        <v>May</v>
      </c>
      <c r="O33" s="3">
        <f t="shared" si="4"/>
        <v>19</v>
      </c>
      <c r="P33" s="3">
        <f t="shared" si="5"/>
        <v>1</v>
      </c>
      <c r="Q33" s="3" t="str">
        <f t="shared" si="6"/>
        <v>Mon</v>
      </c>
    </row>
    <row r="34" spans="1:17" x14ac:dyDescent="0.3">
      <c r="A34" s="7" t="s">
        <v>36</v>
      </c>
      <c r="B34" s="7">
        <v>300</v>
      </c>
      <c r="C34" s="8">
        <v>45782</v>
      </c>
      <c r="D34" s="9">
        <v>27</v>
      </c>
      <c r="E34" s="9">
        <v>8100</v>
      </c>
      <c r="F34" s="8">
        <v>45782</v>
      </c>
      <c r="G34" s="9">
        <v>28.5</v>
      </c>
      <c r="H34" s="9">
        <v>8550</v>
      </c>
      <c r="I34" s="9">
        <v>450</v>
      </c>
      <c r="J34" s="15" t="str">
        <f>IF([1]!Fo_SUMMARY[[#This Row],[Realized P&amp;L]]&gt;0, "Realized Profit", "Realized Loss")</f>
        <v>Realized Profit</v>
      </c>
      <c r="K34" s="3">
        <f t="shared" si="0"/>
        <v>2</v>
      </c>
      <c r="L34" s="3" t="str">
        <f t="shared" si="1"/>
        <v>Q2</v>
      </c>
      <c r="M34" s="3">
        <f t="shared" si="2"/>
        <v>5</v>
      </c>
      <c r="N34" s="3" t="str">
        <f t="shared" si="3"/>
        <v>May</v>
      </c>
      <c r="O34" s="3">
        <f t="shared" si="4"/>
        <v>19</v>
      </c>
      <c r="P34" s="3">
        <f t="shared" si="5"/>
        <v>1</v>
      </c>
      <c r="Q34" s="3" t="str">
        <f t="shared" si="6"/>
        <v>Mon</v>
      </c>
    </row>
    <row r="35" spans="1:17" x14ac:dyDescent="0.3">
      <c r="A35" s="7" t="s">
        <v>37</v>
      </c>
      <c r="B35" s="7">
        <v>1800</v>
      </c>
      <c r="C35" s="8">
        <v>45782</v>
      </c>
      <c r="D35" s="9">
        <v>5.25</v>
      </c>
      <c r="E35" s="9">
        <v>9450</v>
      </c>
      <c r="F35" s="8">
        <v>45782</v>
      </c>
      <c r="G35" s="9">
        <v>5.3</v>
      </c>
      <c r="H35" s="9">
        <v>9540</v>
      </c>
      <c r="I35" s="9">
        <v>90</v>
      </c>
      <c r="J35" s="15" t="str">
        <f>IF([1]!Fo_SUMMARY[[#This Row],[Realized P&amp;L]]&gt;0, "Realized Profit", "Realized Loss")</f>
        <v>Realized Profit</v>
      </c>
      <c r="K35" s="3">
        <f t="shared" si="0"/>
        <v>2</v>
      </c>
      <c r="L35" s="3" t="str">
        <f t="shared" si="1"/>
        <v>Q2</v>
      </c>
      <c r="M35" s="3">
        <f t="shared" si="2"/>
        <v>5</v>
      </c>
      <c r="N35" s="3" t="str">
        <f t="shared" si="3"/>
        <v>May</v>
      </c>
      <c r="O35" s="3">
        <f t="shared" si="4"/>
        <v>19</v>
      </c>
      <c r="P35" s="3">
        <f t="shared" si="5"/>
        <v>1</v>
      </c>
      <c r="Q35" s="3" t="str">
        <f t="shared" si="6"/>
        <v>Mon</v>
      </c>
    </row>
    <row r="36" spans="1:17" x14ac:dyDescent="0.3">
      <c r="A36" s="7" t="s">
        <v>38</v>
      </c>
      <c r="B36" s="7">
        <v>550</v>
      </c>
      <c r="C36" s="8">
        <v>45782</v>
      </c>
      <c r="D36" s="9">
        <v>13.5</v>
      </c>
      <c r="E36" s="9">
        <v>7425</v>
      </c>
      <c r="F36" s="8">
        <v>45782</v>
      </c>
      <c r="G36" s="9">
        <v>13</v>
      </c>
      <c r="H36" s="9">
        <v>7150</v>
      </c>
      <c r="I36" s="9">
        <v>-275</v>
      </c>
      <c r="J36" s="15" t="str">
        <f>IF([1]!Fo_SUMMARY[[#This Row],[Realized P&amp;L]]&gt;0, "Realized Profit", "Realized Loss")</f>
        <v>Realized Profit</v>
      </c>
      <c r="K36" s="3">
        <f t="shared" si="0"/>
        <v>2</v>
      </c>
      <c r="L36" s="3" t="str">
        <f t="shared" si="1"/>
        <v>Q2</v>
      </c>
      <c r="M36" s="3">
        <f t="shared" si="2"/>
        <v>5</v>
      </c>
      <c r="N36" s="3" t="str">
        <f t="shared" si="3"/>
        <v>May</v>
      </c>
      <c r="O36" s="3">
        <f t="shared" si="4"/>
        <v>19</v>
      </c>
      <c r="P36" s="3">
        <f t="shared" si="5"/>
        <v>1</v>
      </c>
      <c r="Q36" s="3" t="str">
        <f t="shared" si="6"/>
        <v>Mon</v>
      </c>
    </row>
    <row r="37" spans="1:17" x14ac:dyDescent="0.3">
      <c r="A37" s="7" t="s">
        <v>39</v>
      </c>
      <c r="B37" s="7">
        <v>500</v>
      </c>
      <c r="C37" s="8">
        <v>45779</v>
      </c>
      <c r="D37" s="9">
        <v>15</v>
      </c>
      <c r="E37" s="9">
        <v>7500</v>
      </c>
      <c r="F37" s="8">
        <v>45782</v>
      </c>
      <c r="G37" s="9">
        <v>17.75</v>
      </c>
      <c r="H37" s="9">
        <v>8875</v>
      </c>
      <c r="I37" s="9">
        <v>1375</v>
      </c>
      <c r="J37" s="15" t="str">
        <f>IF([1]!Fo_SUMMARY[[#This Row],[Realized P&amp;L]]&gt;0, "Realized Profit", "Realized Loss")</f>
        <v>Realized Loss</v>
      </c>
      <c r="K37" s="3">
        <f t="shared" si="0"/>
        <v>2</v>
      </c>
      <c r="L37" s="3" t="str">
        <f t="shared" si="1"/>
        <v>Q2</v>
      </c>
      <c r="M37" s="3">
        <f t="shared" si="2"/>
        <v>5</v>
      </c>
      <c r="N37" s="3" t="str">
        <f t="shared" si="3"/>
        <v>May</v>
      </c>
      <c r="O37" s="3">
        <f t="shared" si="4"/>
        <v>18</v>
      </c>
      <c r="P37" s="3">
        <f t="shared" si="5"/>
        <v>5</v>
      </c>
      <c r="Q37" s="3" t="str">
        <f t="shared" si="6"/>
        <v>Fri</v>
      </c>
    </row>
    <row r="38" spans="1:17" x14ac:dyDescent="0.3">
      <c r="A38" s="7" t="s">
        <v>40</v>
      </c>
      <c r="B38" s="7">
        <v>375</v>
      </c>
      <c r="C38" s="8">
        <v>45783</v>
      </c>
      <c r="D38" s="9">
        <v>24.2</v>
      </c>
      <c r="E38" s="9">
        <v>9075</v>
      </c>
      <c r="F38" s="8">
        <v>45783</v>
      </c>
      <c r="G38" s="9">
        <v>27.2</v>
      </c>
      <c r="H38" s="9">
        <v>10200</v>
      </c>
      <c r="I38" s="9">
        <v>1125</v>
      </c>
      <c r="J38" s="15" t="str">
        <f>IF([1]!Fo_SUMMARY[[#This Row],[Realized P&amp;L]]&gt;0, "Realized Profit", "Realized Loss")</f>
        <v>Realized Profit</v>
      </c>
      <c r="K38" s="3">
        <f t="shared" si="0"/>
        <v>2</v>
      </c>
      <c r="L38" s="3" t="str">
        <f t="shared" si="1"/>
        <v>Q2</v>
      </c>
      <c r="M38" s="3">
        <f t="shared" si="2"/>
        <v>5</v>
      </c>
      <c r="N38" s="3" t="str">
        <f t="shared" si="3"/>
        <v>May</v>
      </c>
      <c r="O38" s="3">
        <f t="shared" si="4"/>
        <v>19</v>
      </c>
      <c r="P38" s="3">
        <f t="shared" si="5"/>
        <v>2</v>
      </c>
      <c r="Q38" s="3" t="str">
        <f t="shared" si="6"/>
        <v>Tue</v>
      </c>
    </row>
    <row r="39" spans="1:17" x14ac:dyDescent="0.3">
      <c r="A39" s="7" t="s">
        <v>41</v>
      </c>
      <c r="B39" s="7">
        <v>475</v>
      </c>
      <c r="C39" s="8">
        <v>45783</v>
      </c>
      <c r="D39" s="9">
        <v>13</v>
      </c>
      <c r="E39" s="9">
        <v>6175</v>
      </c>
      <c r="F39" s="8">
        <v>45783</v>
      </c>
      <c r="G39" s="9">
        <v>16</v>
      </c>
      <c r="H39" s="9">
        <v>7600</v>
      </c>
      <c r="I39" s="9">
        <v>1425</v>
      </c>
      <c r="J39" s="15" t="str">
        <f>IF([1]!Fo_SUMMARY[[#This Row],[Realized P&amp;L]]&gt;0, "Realized Profit", "Realized Loss")</f>
        <v>Realized Profit</v>
      </c>
      <c r="K39" s="3">
        <f t="shared" si="0"/>
        <v>2</v>
      </c>
      <c r="L39" s="3" t="str">
        <f t="shared" si="1"/>
        <v>Q2</v>
      </c>
      <c r="M39" s="3">
        <f t="shared" si="2"/>
        <v>5</v>
      </c>
      <c r="N39" s="3" t="str">
        <f t="shared" si="3"/>
        <v>May</v>
      </c>
      <c r="O39" s="3">
        <f t="shared" si="4"/>
        <v>19</v>
      </c>
      <c r="P39" s="3">
        <f t="shared" si="5"/>
        <v>2</v>
      </c>
      <c r="Q39" s="3" t="str">
        <f t="shared" si="6"/>
        <v>Tue</v>
      </c>
    </row>
    <row r="40" spans="1:17" x14ac:dyDescent="0.3">
      <c r="A40" s="7" t="s">
        <v>42</v>
      </c>
      <c r="B40" s="7">
        <v>500</v>
      </c>
      <c r="C40" s="8">
        <v>45783</v>
      </c>
      <c r="D40" s="9">
        <v>20.75</v>
      </c>
      <c r="E40" s="9">
        <v>10375</v>
      </c>
      <c r="F40" s="8">
        <v>45784</v>
      </c>
      <c r="G40" s="9">
        <v>18</v>
      </c>
      <c r="H40" s="9">
        <v>9000</v>
      </c>
      <c r="I40" s="9">
        <v>-1375</v>
      </c>
      <c r="J40" s="15" t="str">
        <f>IF([1]!Fo_SUMMARY[[#This Row],[Realized P&amp;L]]&gt;0, "Realized Profit", "Realized Loss")</f>
        <v>Realized Loss</v>
      </c>
      <c r="K40" s="3">
        <f t="shared" si="0"/>
        <v>2</v>
      </c>
      <c r="L40" s="3" t="str">
        <f t="shared" si="1"/>
        <v>Q2</v>
      </c>
      <c r="M40" s="3">
        <f t="shared" si="2"/>
        <v>5</v>
      </c>
      <c r="N40" s="3" t="str">
        <f t="shared" si="3"/>
        <v>May</v>
      </c>
      <c r="O40" s="3">
        <f t="shared" si="4"/>
        <v>19</v>
      </c>
      <c r="P40" s="3">
        <f t="shared" si="5"/>
        <v>2</v>
      </c>
      <c r="Q40" s="3" t="str">
        <f t="shared" si="6"/>
        <v>Tue</v>
      </c>
    </row>
    <row r="41" spans="1:17" x14ac:dyDescent="0.3">
      <c r="A41" s="7" t="s">
        <v>43</v>
      </c>
      <c r="B41" s="7">
        <v>625</v>
      </c>
      <c r="C41" s="8">
        <v>45785</v>
      </c>
      <c r="D41" s="9">
        <v>17</v>
      </c>
      <c r="E41" s="9">
        <v>10625</v>
      </c>
      <c r="F41" s="8">
        <v>45785</v>
      </c>
      <c r="G41" s="9">
        <v>19</v>
      </c>
      <c r="H41" s="9">
        <v>11875</v>
      </c>
      <c r="I41" s="9">
        <v>1250</v>
      </c>
      <c r="J41" s="15" t="str">
        <f>IF([1]!Fo_SUMMARY[[#This Row],[Realized P&amp;L]]&gt;0, "Realized Profit", "Realized Loss")</f>
        <v>Realized Profit</v>
      </c>
      <c r="K41" s="3">
        <f t="shared" si="0"/>
        <v>2</v>
      </c>
      <c r="L41" s="3" t="str">
        <f t="shared" si="1"/>
        <v>Q2</v>
      </c>
      <c r="M41" s="3">
        <f t="shared" si="2"/>
        <v>5</v>
      </c>
      <c r="N41" s="3" t="str">
        <f t="shared" si="3"/>
        <v>May</v>
      </c>
      <c r="O41" s="3">
        <f t="shared" si="4"/>
        <v>19</v>
      </c>
      <c r="P41" s="3">
        <f t="shared" si="5"/>
        <v>4</v>
      </c>
      <c r="Q41" s="3" t="str">
        <f t="shared" si="6"/>
        <v>Thu</v>
      </c>
    </row>
    <row r="42" spans="1:17" x14ac:dyDescent="0.3">
      <c r="A42" s="7" t="s">
        <v>44</v>
      </c>
      <c r="B42" s="7">
        <v>700</v>
      </c>
      <c r="C42" s="8">
        <v>45784</v>
      </c>
      <c r="D42" s="9">
        <v>15</v>
      </c>
      <c r="E42" s="9">
        <v>10500</v>
      </c>
      <c r="F42" s="8">
        <v>45785</v>
      </c>
      <c r="G42" s="9">
        <v>15.2</v>
      </c>
      <c r="H42" s="9">
        <v>10640</v>
      </c>
      <c r="I42" s="9">
        <v>140</v>
      </c>
      <c r="J42" s="15" t="str">
        <f>IF([1]!Fo_SUMMARY[[#This Row],[Realized P&amp;L]]&gt;0, "Realized Profit", "Realized Loss")</f>
        <v>Realized Profit</v>
      </c>
      <c r="K42" s="3">
        <f t="shared" si="0"/>
        <v>2</v>
      </c>
      <c r="L42" s="3" t="str">
        <f t="shared" si="1"/>
        <v>Q2</v>
      </c>
      <c r="M42" s="3">
        <f t="shared" si="2"/>
        <v>5</v>
      </c>
      <c r="N42" s="3" t="str">
        <f t="shared" si="3"/>
        <v>May</v>
      </c>
      <c r="O42" s="3">
        <f t="shared" si="4"/>
        <v>19</v>
      </c>
      <c r="P42" s="3">
        <f t="shared" si="5"/>
        <v>3</v>
      </c>
      <c r="Q42" s="3" t="str">
        <f t="shared" si="6"/>
        <v>Wed</v>
      </c>
    </row>
    <row r="43" spans="1:17" x14ac:dyDescent="0.3">
      <c r="A43" s="7" t="s">
        <v>45</v>
      </c>
      <c r="B43" s="7">
        <v>550</v>
      </c>
      <c r="C43" s="8">
        <v>45789</v>
      </c>
      <c r="D43" s="9">
        <v>20</v>
      </c>
      <c r="E43" s="9">
        <v>11000</v>
      </c>
      <c r="F43" s="8">
        <v>45789</v>
      </c>
      <c r="G43" s="9">
        <v>20.2</v>
      </c>
      <c r="H43" s="9">
        <v>11110</v>
      </c>
      <c r="I43" s="9">
        <v>110</v>
      </c>
      <c r="J43" s="15" t="str">
        <f>IF([1]!Fo_SUMMARY[[#This Row],[Realized P&amp;L]]&gt;0, "Realized Profit", "Realized Loss")</f>
        <v>Realized Profit</v>
      </c>
      <c r="K43" s="3">
        <f t="shared" si="0"/>
        <v>2</v>
      </c>
      <c r="L43" s="3" t="str">
        <f t="shared" si="1"/>
        <v>Q2</v>
      </c>
      <c r="M43" s="3">
        <f t="shared" si="2"/>
        <v>5</v>
      </c>
      <c r="N43" s="3" t="str">
        <f t="shared" si="3"/>
        <v>May</v>
      </c>
      <c r="O43" s="3">
        <f t="shared" si="4"/>
        <v>20</v>
      </c>
      <c r="P43" s="3">
        <f t="shared" si="5"/>
        <v>1</v>
      </c>
      <c r="Q43" s="3" t="str">
        <f t="shared" si="6"/>
        <v>Mon</v>
      </c>
    </row>
    <row r="44" spans="1:17" x14ac:dyDescent="0.3">
      <c r="A44" s="7" t="s">
        <v>46</v>
      </c>
      <c r="B44" s="7">
        <v>700</v>
      </c>
      <c r="C44" s="8">
        <v>45789</v>
      </c>
      <c r="D44" s="9">
        <v>19.5</v>
      </c>
      <c r="E44" s="9">
        <v>13650</v>
      </c>
      <c r="F44" s="8">
        <v>45789</v>
      </c>
      <c r="G44" s="9">
        <v>21.5</v>
      </c>
      <c r="H44" s="9">
        <v>15050</v>
      </c>
      <c r="I44" s="9">
        <v>1400</v>
      </c>
      <c r="J44" s="15" t="str">
        <f>IF([1]!Fo_SUMMARY[[#This Row],[Realized P&amp;L]]&gt;0, "Realized Profit", "Realized Loss")</f>
        <v>Realized Profit</v>
      </c>
      <c r="K44" s="3">
        <f t="shared" si="0"/>
        <v>2</v>
      </c>
      <c r="L44" s="3" t="str">
        <f t="shared" si="1"/>
        <v>Q2</v>
      </c>
      <c r="M44" s="3">
        <f t="shared" si="2"/>
        <v>5</v>
      </c>
      <c r="N44" s="3" t="str">
        <f t="shared" si="3"/>
        <v>May</v>
      </c>
      <c r="O44" s="3">
        <f t="shared" si="4"/>
        <v>20</v>
      </c>
      <c r="P44" s="3">
        <f t="shared" si="5"/>
        <v>1</v>
      </c>
      <c r="Q44" s="3" t="str">
        <f t="shared" si="6"/>
        <v>Mon</v>
      </c>
    </row>
    <row r="45" spans="1:17" x14ac:dyDescent="0.3">
      <c r="A45" s="7" t="s">
        <v>47</v>
      </c>
      <c r="B45" s="7">
        <v>550</v>
      </c>
      <c r="C45" s="8">
        <v>45786</v>
      </c>
      <c r="D45" s="9">
        <v>14.5</v>
      </c>
      <c r="E45" s="9">
        <v>7975</v>
      </c>
      <c r="F45" s="8">
        <v>45789</v>
      </c>
      <c r="G45" s="9">
        <v>22</v>
      </c>
      <c r="H45" s="9">
        <v>12100</v>
      </c>
      <c r="I45" s="9">
        <v>4125</v>
      </c>
      <c r="J45" s="15" t="str">
        <f>IF([1]!Fo_SUMMARY[[#This Row],[Realized P&amp;L]]&gt;0, "Realized Profit", "Realized Loss")</f>
        <v>Realized Profit</v>
      </c>
      <c r="K45" s="3">
        <f t="shared" si="0"/>
        <v>2</v>
      </c>
      <c r="L45" s="3" t="str">
        <f t="shared" si="1"/>
        <v>Q2</v>
      </c>
      <c r="M45" s="3">
        <f t="shared" si="2"/>
        <v>5</v>
      </c>
      <c r="N45" s="3" t="str">
        <f t="shared" si="3"/>
        <v>May</v>
      </c>
      <c r="O45" s="3">
        <f t="shared" si="4"/>
        <v>19</v>
      </c>
      <c r="P45" s="3">
        <f t="shared" si="5"/>
        <v>5</v>
      </c>
      <c r="Q45" s="3" t="str">
        <f t="shared" si="6"/>
        <v>Fri</v>
      </c>
    </row>
    <row r="46" spans="1:17" x14ac:dyDescent="0.3">
      <c r="A46" s="7" t="s">
        <v>48</v>
      </c>
      <c r="B46" s="7">
        <v>625</v>
      </c>
      <c r="C46" s="8">
        <v>45790</v>
      </c>
      <c r="D46" s="9">
        <v>23.5</v>
      </c>
      <c r="E46" s="9">
        <v>14687.5</v>
      </c>
      <c r="F46" s="8">
        <v>45790</v>
      </c>
      <c r="G46" s="9">
        <v>26.2</v>
      </c>
      <c r="H46" s="9">
        <v>16375</v>
      </c>
      <c r="I46" s="9">
        <v>1687.5</v>
      </c>
      <c r="J46" s="15" t="str">
        <f>IF([1]!Fo_SUMMARY[[#This Row],[Realized P&amp;L]]&gt;0, "Realized Profit", "Realized Loss")</f>
        <v>Realized Profit</v>
      </c>
      <c r="K46" s="3">
        <f t="shared" si="0"/>
        <v>2</v>
      </c>
      <c r="L46" s="3" t="str">
        <f t="shared" si="1"/>
        <v>Q2</v>
      </c>
      <c r="M46" s="3">
        <f t="shared" si="2"/>
        <v>5</v>
      </c>
      <c r="N46" s="3" t="str">
        <f t="shared" si="3"/>
        <v>May</v>
      </c>
      <c r="O46" s="3">
        <f t="shared" si="4"/>
        <v>20</v>
      </c>
      <c r="P46" s="3">
        <f t="shared" si="5"/>
        <v>2</v>
      </c>
      <c r="Q46" s="3" t="str">
        <f t="shared" si="6"/>
        <v>Tue</v>
      </c>
    </row>
    <row r="47" spans="1:17" x14ac:dyDescent="0.3">
      <c r="A47" s="7" t="s">
        <v>49</v>
      </c>
      <c r="B47" s="7">
        <v>625</v>
      </c>
      <c r="C47" s="8">
        <v>45790</v>
      </c>
      <c r="D47" s="9">
        <v>23.75</v>
      </c>
      <c r="E47" s="9">
        <v>14843.75</v>
      </c>
      <c r="F47" s="8">
        <v>45790</v>
      </c>
      <c r="G47" s="9">
        <v>25</v>
      </c>
      <c r="H47" s="9">
        <v>15625</v>
      </c>
      <c r="I47" s="9">
        <v>781.25</v>
      </c>
      <c r="J47" s="15" t="str">
        <f>IF([1]!Fo_SUMMARY[[#This Row],[Realized P&amp;L]]&gt;0, "Realized Profit", "Realized Loss")</f>
        <v>Realized Profit</v>
      </c>
      <c r="K47" s="3">
        <f t="shared" si="0"/>
        <v>2</v>
      </c>
      <c r="L47" s="3" t="str">
        <f t="shared" si="1"/>
        <v>Q2</v>
      </c>
      <c r="M47" s="3">
        <f t="shared" si="2"/>
        <v>5</v>
      </c>
      <c r="N47" s="3" t="str">
        <f t="shared" si="3"/>
        <v>May</v>
      </c>
      <c r="O47" s="3">
        <f t="shared" si="4"/>
        <v>20</v>
      </c>
      <c r="P47" s="3">
        <f t="shared" si="5"/>
        <v>2</v>
      </c>
      <c r="Q47" s="3" t="str">
        <f t="shared" si="6"/>
        <v>Tue</v>
      </c>
    </row>
    <row r="48" spans="1:17" x14ac:dyDescent="0.3">
      <c r="A48" s="7" t="s">
        <v>50</v>
      </c>
      <c r="B48" s="7">
        <v>700</v>
      </c>
      <c r="C48" s="8">
        <v>45790</v>
      </c>
      <c r="D48" s="9">
        <v>16.5</v>
      </c>
      <c r="E48" s="9">
        <v>11550</v>
      </c>
      <c r="F48" s="8">
        <v>45790</v>
      </c>
      <c r="G48" s="9">
        <v>17</v>
      </c>
      <c r="H48" s="9">
        <v>11900</v>
      </c>
      <c r="I48" s="9">
        <v>350</v>
      </c>
      <c r="J48" s="15" t="str">
        <f>IF([1]!Fo_SUMMARY[[#This Row],[Realized P&amp;L]]&gt;0, "Realized Profit", "Realized Loss")</f>
        <v>Realized Profit</v>
      </c>
      <c r="K48" s="3">
        <f t="shared" si="0"/>
        <v>2</v>
      </c>
      <c r="L48" s="3" t="str">
        <f t="shared" si="1"/>
        <v>Q2</v>
      </c>
      <c r="M48" s="3">
        <f t="shared" si="2"/>
        <v>5</v>
      </c>
      <c r="N48" s="3" t="str">
        <f t="shared" si="3"/>
        <v>May</v>
      </c>
      <c r="O48" s="3">
        <f t="shared" si="4"/>
        <v>20</v>
      </c>
      <c r="P48" s="3">
        <f t="shared" si="5"/>
        <v>2</v>
      </c>
      <c r="Q48" s="3" t="str">
        <f t="shared" si="6"/>
        <v>Tue</v>
      </c>
    </row>
    <row r="49" spans="1:17" x14ac:dyDescent="0.3">
      <c r="A49" s="7" t="s">
        <v>50</v>
      </c>
      <c r="B49" s="7">
        <v>700</v>
      </c>
      <c r="C49" s="8">
        <v>45791</v>
      </c>
      <c r="D49" s="9">
        <v>20.75</v>
      </c>
      <c r="E49" s="9">
        <v>14525</v>
      </c>
      <c r="F49" s="8">
        <v>45791</v>
      </c>
      <c r="G49" s="9">
        <v>19</v>
      </c>
      <c r="H49" s="9">
        <v>13300</v>
      </c>
      <c r="I49" s="9">
        <v>-1225</v>
      </c>
      <c r="J49" s="15" t="str">
        <f>IF([1]!Fo_SUMMARY[[#This Row],[Realized P&amp;L]]&gt;0, "Realized Profit", "Realized Loss")</f>
        <v>Realized Loss</v>
      </c>
      <c r="K49" s="3">
        <f t="shared" si="0"/>
        <v>2</v>
      </c>
      <c r="L49" s="3" t="str">
        <f t="shared" si="1"/>
        <v>Q2</v>
      </c>
      <c r="M49" s="3">
        <f t="shared" si="2"/>
        <v>5</v>
      </c>
      <c r="N49" s="3" t="str">
        <f t="shared" si="3"/>
        <v>May</v>
      </c>
      <c r="O49" s="3">
        <f t="shared" si="4"/>
        <v>20</v>
      </c>
      <c r="P49" s="3">
        <f t="shared" si="5"/>
        <v>3</v>
      </c>
      <c r="Q49" s="3" t="str">
        <f t="shared" si="6"/>
        <v>Wed</v>
      </c>
    </row>
    <row r="50" spans="1:17" x14ac:dyDescent="0.3">
      <c r="A50" s="7" t="s">
        <v>50</v>
      </c>
      <c r="B50" s="7">
        <v>700</v>
      </c>
      <c r="C50" s="8">
        <v>45791</v>
      </c>
      <c r="D50" s="9">
        <v>18.8</v>
      </c>
      <c r="E50" s="9">
        <v>13160</v>
      </c>
      <c r="F50" s="8">
        <v>45791</v>
      </c>
      <c r="G50" s="9">
        <v>18.5</v>
      </c>
      <c r="H50" s="9">
        <v>12950</v>
      </c>
      <c r="I50" s="9">
        <v>-210</v>
      </c>
      <c r="J50" s="15" t="str">
        <f>IF([1]!Fo_SUMMARY[[#This Row],[Realized P&amp;L]]&gt;0, "Realized Profit", "Realized Loss")</f>
        <v>Realized Loss</v>
      </c>
      <c r="K50" s="3">
        <f t="shared" si="0"/>
        <v>2</v>
      </c>
      <c r="L50" s="3" t="str">
        <f t="shared" si="1"/>
        <v>Q2</v>
      </c>
      <c r="M50" s="3">
        <f t="shared" si="2"/>
        <v>5</v>
      </c>
      <c r="N50" s="3" t="str">
        <f t="shared" si="3"/>
        <v>May</v>
      </c>
      <c r="O50" s="3">
        <f t="shared" si="4"/>
        <v>20</v>
      </c>
      <c r="P50" s="3">
        <f t="shared" si="5"/>
        <v>3</v>
      </c>
      <c r="Q50" s="3" t="str">
        <f t="shared" si="6"/>
        <v>Wed</v>
      </c>
    </row>
    <row r="51" spans="1:17" x14ac:dyDescent="0.3">
      <c r="A51" s="7" t="s">
        <v>51</v>
      </c>
      <c r="B51" s="7">
        <v>700</v>
      </c>
      <c r="C51" s="8">
        <v>45791</v>
      </c>
      <c r="D51" s="9">
        <v>18.75</v>
      </c>
      <c r="E51" s="9">
        <v>13125</v>
      </c>
      <c r="F51" s="8">
        <v>45791</v>
      </c>
      <c r="G51" s="9">
        <v>19</v>
      </c>
      <c r="H51" s="9">
        <v>13300</v>
      </c>
      <c r="I51" s="9">
        <v>175</v>
      </c>
      <c r="J51" s="15" t="str">
        <f>IF([1]!Fo_SUMMARY[[#This Row],[Realized P&amp;L]]&gt;0, "Realized Profit", "Realized Loss")</f>
        <v>Realized Profit</v>
      </c>
      <c r="K51" s="3">
        <f t="shared" si="0"/>
        <v>2</v>
      </c>
      <c r="L51" s="3" t="str">
        <f t="shared" si="1"/>
        <v>Q2</v>
      </c>
      <c r="M51" s="3">
        <f t="shared" si="2"/>
        <v>5</v>
      </c>
      <c r="N51" s="3" t="str">
        <f t="shared" si="3"/>
        <v>May</v>
      </c>
      <c r="O51" s="3">
        <f t="shared" si="4"/>
        <v>20</v>
      </c>
      <c r="P51" s="3">
        <f t="shared" si="5"/>
        <v>3</v>
      </c>
      <c r="Q51" s="3" t="str">
        <f t="shared" si="6"/>
        <v>Wed</v>
      </c>
    </row>
    <row r="52" spans="1:17" x14ac:dyDescent="0.3">
      <c r="A52" s="7" t="s">
        <v>52</v>
      </c>
      <c r="B52" s="7">
        <v>5500</v>
      </c>
      <c r="C52" s="8">
        <v>45791</v>
      </c>
      <c r="D52" s="9">
        <v>3.8</v>
      </c>
      <c r="E52" s="9">
        <v>20900</v>
      </c>
      <c r="F52" s="8">
        <v>45791</v>
      </c>
      <c r="G52" s="9">
        <v>5.0999999999999996</v>
      </c>
      <c r="H52" s="9">
        <v>28050</v>
      </c>
      <c r="I52" s="9">
        <v>7150</v>
      </c>
      <c r="J52" s="15" t="str">
        <f>IF([1]!Fo_SUMMARY[[#This Row],[Realized P&amp;L]]&gt;0, "Realized Profit", "Realized Loss")</f>
        <v>Realized Profit</v>
      </c>
      <c r="K52" s="3">
        <f t="shared" si="0"/>
        <v>2</v>
      </c>
      <c r="L52" s="3" t="str">
        <f t="shared" si="1"/>
        <v>Q2</v>
      </c>
      <c r="M52" s="3">
        <f t="shared" si="2"/>
        <v>5</v>
      </c>
      <c r="N52" s="3" t="str">
        <f t="shared" si="3"/>
        <v>May</v>
      </c>
      <c r="O52" s="3">
        <f t="shared" si="4"/>
        <v>20</v>
      </c>
      <c r="P52" s="3">
        <f t="shared" si="5"/>
        <v>3</v>
      </c>
      <c r="Q52" s="3" t="str">
        <f t="shared" si="6"/>
        <v>Wed</v>
      </c>
    </row>
    <row r="53" spans="1:17" x14ac:dyDescent="0.3">
      <c r="A53" s="7" t="s">
        <v>53</v>
      </c>
      <c r="B53" s="7">
        <v>1150</v>
      </c>
      <c r="C53" s="8">
        <v>45791</v>
      </c>
      <c r="D53" s="9">
        <v>10.75</v>
      </c>
      <c r="E53" s="9">
        <v>12362.5</v>
      </c>
      <c r="F53" s="8">
        <v>45791</v>
      </c>
      <c r="G53" s="9">
        <v>11</v>
      </c>
      <c r="H53" s="9">
        <v>12650</v>
      </c>
      <c r="I53" s="9">
        <v>287.5</v>
      </c>
      <c r="J53" s="15" t="str">
        <f>IF([1]!Fo_SUMMARY[[#This Row],[Realized P&amp;L]]&gt;0, "Realized Profit", "Realized Loss")</f>
        <v>Realized Profit</v>
      </c>
      <c r="K53" s="3">
        <f t="shared" si="0"/>
        <v>2</v>
      </c>
      <c r="L53" s="3" t="str">
        <f t="shared" si="1"/>
        <v>Q2</v>
      </c>
      <c r="M53" s="3">
        <f t="shared" si="2"/>
        <v>5</v>
      </c>
      <c r="N53" s="3" t="str">
        <f t="shared" si="3"/>
        <v>May</v>
      </c>
      <c r="O53" s="3">
        <f t="shared" si="4"/>
        <v>20</v>
      </c>
      <c r="P53" s="3">
        <f t="shared" si="5"/>
        <v>3</v>
      </c>
      <c r="Q53" s="3" t="str">
        <f t="shared" si="6"/>
        <v>Wed</v>
      </c>
    </row>
    <row r="54" spans="1:17" x14ac:dyDescent="0.3">
      <c r="A54" s="7" t="s">
        <v>54</v>
      </c>
      <c r="B54" s="7">
        <v>675</v>
      </c>
      <c r="C54" s="8">
        <v>45792</v>
      </c>
      <c r="D54" s="9">
        <v>28</v>
      </c>
      <c r="E54" s="9">
        <v>18900</v>
      </c>
      <c r="F54" s="8">
        <v>45792</v>
      </c>
      <c r="G54" s="9">
        <v>32.5</v>
      </c>
      <c r="H54" s="9">
        <v>21937.5</v>
      </c>
      <c r="I54" s="9">
        <v>3037.5</v>
      </c>
      <c r="J54" s="15" t="str">
        <f>IF([1]!Fo_SUMMARY[[#This Row],[Realized P&amp;L]]&gt;0, "Realized Profit", "Realized Loss")</f>
        <v>Realized Profit</v>
      </c>
      <c r="K54" s="3">
        <f t="shared" si="0"/>
        <v>2</v>
      </c>
      <c r="L54" s="3" t="str">
        <f t="shared" si="1"/>
        <v>Q2</v>
      </c>
      <c r="M54" s="3">
        <f t="shared" si="2"/>
        <v>5</v>
      </c>
      <c r="N54" s="3" t="str">
        <f t="shared" si="3"/>
        <v>May</v>
      </c>
      <c r="O54" s="3">
        <f t="shared" si="4"/>
        <v>20</v>
      </c>
      <c r="P54" s="3">
        <f t="shared" si="5"/>
        <v>4</v>
      </c>
      <c r="Q54" s="3" t="str">
        <f t="shared" si="6"/>
        <v>Thu</v>
      </c>
    </row>
    <row r="55" spans="1:17" x14ac:dyDescent="0.3">
      <c r="A55" s="7" t="s">
        <v>55</v>
      </c>
      <c r="B55" s="7">
        <v>675</v>
      </c>
      <c r="C55" s="8">
        <v>45792</v>
      </c>
      <c r="D55" s="9">
        <v>23</v>
      </c>
      <c r="E55" s="9">
        <v>15525</v>
      </c>
      <c r="F55" s="8">
        <v>45792</v>
      </c>
      <c r="G55" s="9">
        <v>24.5</v>
      </c>
      <c r="H55" s="9">
        <v>16537.5</v>
      </c>
      <c r="I55" s="9">
        <v>1012.5</v>
      </c>
      <c r="J55" s="15" t="str">
        <f>IF([1]!Fo_SUMMARY[[#This Row],[Realized P&amp;L]]&gt;0, "Realized Profit", "Realized Loss")</f>
        <v>Realized Profit</v>
      </c>
      <c r="K55" s="3">
        <f t="shared" si="0"/>
        <v>2</v>
      </c>
      <c r="L55" s="3" t="str">
        <f t="shared" si="1"/>
        <v>Q2</v>
      </c>
      <c r="M55" s="3">
        <f t="shared" si="2"/>
        <v>5</v>
      </c>
      <c r="N55" s="3" t="str">
        <f t="shared" si="3"/>
        <v>May</v>
      </c>
      <c r="O55" s="3">
        <f t="shared" si="4"/>
        <v>20</v>
      </c>
      <c r="P55" s="3">
        <f t="shared" si="5"/>
        <v>4</v>
      </c>
      <c r="Q55" s="3" t="str">
        <f t="shared" si="6"/>
        <v>Thu</v>
      </c>
    </row>
    <row r="56" spans="1:17" x14ac:dyDescent="0.3">
      <c r="A56" s="7" t="s">
        <v>56</v>
      </c>
      <c r="B56" s="7">
        <v>550</v>
      </c>
      <c r="C56" s="8">
        <v>45792</v>
      </c>
      <c r="D56" s="9">
        <v>21.5</v>
      </c>
      <c r="E56" s="9">
        <v>11825</v>
      </c>
      <c r="F56" s="8">
        <v>45792</v>
      </c>
      <c r="G56" s="9">
        <v>22</v>
      </c>
      <c r="H56" s="9">
        <v>12100</v>
      </c>
      <c r="I56" s="9">
        <v>275</v>
      </c>
      <c r="J56" s="15" t="str">
        <f>IF([1]!Fo_SUMMARY[[#This Row],[Realized P&amp;L]]&gt;0, "Realized Profit", "Realized Loss")</f>
        <v>Realized Profit</v>
      </c>
      <c r="K56" s="3">
        <f t="shared" si="0"/>
        <v>2</v>
      </c>
      <c r="L56" s="3" t="str">
        <f t="shared" si="1"/>
        <v>Q2</v>
      </c>
      <c r="M56" s="3">
        <f t="shared" si="2"/>
        <v>5</v>
      </c>
      <c r="N56" s="3" t="str">
        <f t="shared" si="3"/>
        <v>May</v>
      </c>
      <c r="O56" s="3">
        <f t="shared" si="4"/>
        <v>20</v>
      </c>
      <c r="P56" s="3">
        <f t="shared" si="5"/>
        <v>4</v>
      </c>
      <c r="Q56" s="3" t="str">
        <f t="shared" si="6"/>
        <v>Thu</v>
      </c>
    </row>
    <row r="57" spans="1:17" x14ac:dyDescent="0.3">
      <c r="A57" s="7" t="s">
        <v>57</v>
      </c>
      <c r="B57" s="7">
        <v>550</v>
      </c>
      <c r="C57" s="8">
        <v>45792</v>
      </c>
      <c r="D57" s="9">
        <v>15.25</v>
      </c>
      <c r="E57" s="9">
        <v>8387.5</v>
      </c>
      <c r="F57" s="8">
        <v>45792</v>
      </c>
      <c r="G57" s="9">
        <v>16</v>
      </c>
      <c r="H57" s="9">
        <v>8800</v>
      </c>
      <c r="I57" s="9">
        <v>412.5</v>
      </c>
      <c r="J57" s="15" t="str">
        <f>IF([1]!Fo_SUMMARY[[#This Row],[Realized P&amp;L]]&gt;0, "Realized Profit", "Realized Loss")</f>
        <v>Realized Profit</v>
      </c>
      <c r="K57" s="3">
        <f t="shared" si="0"/>
        <v>2</v>
      </c>
      <c r="L57" s="3" t="str">
        <f t="shared" si="1"/>
        <v>Q2</v>
      </c>
      <c r="M57" s="3">
        <f t="shared" si="2"/>
        <v>5</v>
      </c>
      <c r="N57" s="3" t="str">
        <f t="shared" si="3"/>
        <v>May</v>
      </c>
      <c r="O57" s="3">
        <f t="shared" si="4"/>
        <v>20</v>
      </c>
      <c r="P57" s="3">
        <f t="shared" si="5"/>
        <v>4</v>
      </c>
      <c r="Q57" s="3" t="str">
        <f t="shared" si="6"/>
        <v>Thu</v>
      </c>
    </row>
    <row r="58" spans="1:17" x14ac:dyDescent="0.3">
      <c r="A58" s="7" t="s">
        <v>58</v>
      </c>
      <c r="B58" s="7">
        <v>700</v>
      </c>
      <c r="C58" s="8">
        <v>45792</v>
      </c>
      <c r="D58" s="9">
        <v>21</v>
      </c>
      <c r="E58" s="9">
        <v>14700</v>
      </c>
      <c r="F58" s="8">
        <v>45793</v>
      </c>
      <c r="G58" s="9">
        <v>22.8</v>
      </c>
      <c r="H58" s="9">
        <v>15960</v>
      </c>
      <c r="I58" s="9">
        <v>1260</v>
      </c>
      <c r="J58" s="15" t="str">
        <f>IF([1]!Fo_SUMMARY[[#This Row],[Realized P&amp;L]]&gt;0, "Realized Profit", "Realized Loss")</f>
        <v>Realized Profit</v>
      </c>
      <c r="K58" s="3">
        <f t="shared" si="0"/>
        <v>2</v>
      </c>
      <c r="L58" s="3" t="str">
        <f t="shared" si="1"/>
        <v>Q2</v>
      </c>
      <c r="M58" s="3">
        <f t="shared" si="2"/>
        <v>5</v>
      </c>
      <c r="N58" s="3" t="str">
        <f t="shared" si="3"/>
        <v>May</v>
      </c>
      <c r="O58" s="3">
        <f t="shared" si="4"/>
        <v>20</v>
      </c>
      <c r="P58" s="3">
        <f t="shared" si="5"/>
        <v>4</v>
      </c>
      <c r="Q58" s="3" t="str">
        <f t="shared" si="6"/>
        <v>Thu</v>
      </c>
    </row>
    <row r="59" spans="1:17" x14ac:dyDescent="0.3">
      <c r="A59" s="7" t="s">
        <v>59</v>
      </c>
      <c r="B59" s="7">
        <v>1350</v>
      </c>
      <c r="C59" s="8">
        <v>45793</v>
      </c>
      <c r="D59" s="9">
        <v>11.75</v>
      </c>
      <c r="E59" s="9">
        <v>15862.5</v>
      </c>
      <c r="F59" s="8">
        <v>45796</v>
      </c>
      <c r="G59" s="9">
        <v>12.5</v>
      </c>
      <c r="H59" s="9">
        <v>16875</v>
      </c>
      <c r="I59" s="9">
        <v>1012.5</v>
      </c>
      <c r="J59" s="15" t="str">
        <f>IF([1]!Fo_SUMMARY[[#This Row],[Realized P&amp;L]]&gt;0, "Realized Profit", "Realized Loss")</f>
        <v>Realized Profit</v>
      </c>
      <c r="K59" s="3">
        <f t="shared" si="0"/>
        <v>2</v>
      </c>
      <c r="L59" s="3" t="str">
        <f t="shared" si="1"/>
        <v>Q2</v>
      </c>
      <c r="M59" s="3">
        <f t="shared" si="2"/>
        <v>5</v>
      </c>
      <c r="N59" s="3" t="str">
        <f t="shared" si="3"/>
        <v>May</v>
      </c>
      <c r="O59" s="3">
        <f t="shared" si="4"/>
        <v>20</v>
      </c>
      <c r="P59" s="3">
        <f t="shared" si="5"/>
        <v>5</v>
      </c>
      <c r="Q59" s="3" t="str">
        <f t="shared" si="6"/>
        <v>Fri</v>
      </c>
    </row>
    <row r="60" spans="1:17" x14ac:dyDescent="0.3">
      <c r="A60" s="7" t="s">
        <v>60</v>
      </c>
      <c r="B60" s="7">
        <v>3525</v>
      </c>
      <c r="C60" s="8">
        <v>45796</v>
      </c>
      <c r="D60" s="9">
        <v>3</v>
      </c>
      <c r="E60" s="9">
        <v>10575</v>
      </c>
      <c r="F60" s="8">
        <v>45798</v>
      </c>
      <c r="G60" s="9">
        <v>1.35</v>
      </c>
      <c r="H60" s="9">
        <v>4758.75</v>
      </c>
      <c r="I60" s="9">
        <v>-5816.25</v>
      </c>
      <c r="J60" s="15" t="str">
        <f>IF([1]!Fo_SUMMARY[[#This Row],[Realized P&amp;L]]&gt;0, "Realized Profit", "Realized Loss")</f>
        <v>Realized Loss</v>
      </c>
      <c r="K60" s="3">
        <f t="shared" si="0"/>
        <v>2</v>
      </c>
      <c r="L60" s="3" t="str">
        <f t="shared" si="1"/>
        <v>Q2</v>
      </c>
      <c r="M60" s="3">
        <f t="shared" si="2"/>
        <v>5</v>
      </c>
      <c r="N60" s="3" t="str">
        <f t="shared" si="3"/>
        <v>May</v>
      </c>
      <c r="O60" s="3">
        <f t="shared" si="4"/>
        <v>21</v>
      </c>
      <c r="P60" s="3">
        <f t="shared" si="5"/>
        <v>1</v>
      </c>
      <c r="Q60" s="3" t="str">
        <f t="shared" si="6"/>
        <v>Mon</v>
      </c>
    </row>
    <row r="61" spans="1:17" x14ac:dyDescent="0.3">
      <c r="A61" s="7" t="s">
        <v>61</v>
      </c>
      <c r="B61" s="7">
        <v>325</v>
      </c>
      <c r="C61" s="8">
        <v>45798</v>
      </c>
      <c r="D61" s="9">
        <v>20.05</v>
      </c>
      <c r="E61" s="9">
        <v>6516.25</v>
      </c>
      <c r="F61" s="8">
        <v>45799</v>
      </c>
      <c r="G61" s="9">
        <v>10.8</v>
      </c>
      <c r="H61" s="9">
        <v>3510</v>
      </c>
      <c r="I61" s="9">
        <v>-3006.25</v>
      </c>
      <c r="J61" s="15" t="str">
        <f>IF([1]!Fo_SUMMARY[[#This Row],[Realized P&amp;L]]&gt;0, "Realized Profit", "Realized Loss")</f>
        <v>Realized Loss</v>
      </c>
      <c r="K61" s="3">
        <f t="shared" si="0"/>
        <v>2</v>
      </c>
      <c r="L61" s="3" t="str">
        <f t="shared" si="1"/>
        <v>Q2</v>
      </c>
      <c r="M61" s="3">
        <f t="shared" si="2"/>
        <v>5</v>
      </c>
      <c r="N61" s="3" t="str">
        <f t="shared" si="3"/>
        <v>May</v>
      </c>
      <c r="O61" s="3">
        <f t="shared" si="4"/>
        <v>21</v>
      </c>
      <c r="P61" s="3">
        <f t="shared" si="5"/>
        <v>3</v>
      </c>
      <c r="Q61" s="3" t="str">
        <f t="shared" si="6"/>
        <v>Wed</v>
      </c>
    </row>
    <row r="62" spans="1:17" x14ac:dyDescent="0.3">
      <c r="A62" s="7" t="s">
        <v>62</v>
      </c>
      <c r="B62" s="7">
        <v>375</v>
      </c>
      <c r="C62" s="8">
        <v>45799</v>
      </c>
      <c r="D62" s="9">
        <v>13.15</v>
      </c>
      <c r="E62" s="9">
        <v>4931.25</v>
      </c>
      <c r="F62" s="8">
        <v>45800</v>
      </c>
      <c r="G62" s="9">
        <v>4.5</v>
      </c>
      <c r="H62" s="9">
        <v>1687.5</v>
      </c>
      <c r="I62" s="9">
        <v>-3243.75</v>
      </c>
      <c r="J62" s="15" t="str">
        <f>IF([1]!Fo_SUMMARY[[#This Row],[Realized P&amp;L]]&gt;0, "Realized Profit", "Realized Loss")</f>
        <v>Realized Loss</v>
      </c>
      <c r="K62" s="3">
        <f t="shared" si="0"/>
        <v>2</v>
      </c>
      <c r="L62" s="3" t="str">
        <f t="shared" si="1"/>
        <v>Q2</v>
      </c>
      <c r="M62" s="3">
        <f t="shared" si="2"/>
        <v>5</v>
      </c>
      <c r="N62" s="3" t="str">
        <f t="shared" si="3"/>
        <v>May</v>
      </c>
      <c r="O62" s="3">
        <f t="shared" si="4"/>
        <v>21</v>
      </c>
      <c r="P62" s="3">
        <f t="shared" si="5"/>
        <v>4</v>
      </c>
      <c r="Q62" s="3" t="str">
        <f t="shared" si="6"/>
        <v>Thu</v>
      </c>
    </row>
    <row r="63" spans="1:17" x14ac:dyDescent="0.3">
      <c r="A63" s="7" t="s">
        <v>63</v>
      </c>
      <c r="B63" s="7">
        <v>375</v>
      </c>
      <c r="C63" s="8">
        <v>45800</v>
      </c>
      <c r="D63" s="9">
        <v>4.5</v>
      </c>
      <c r="E63" s="9">
        <v>1687.5</v>
      </c>
      <c r="F63" s="8">
        <v>45800</v>
      </c>
      <c r="G63" s="9">
        <v>5.5</v>
      </c>
      <c r="H63" s="9">
        <v>2062.5</v>
      </c>
      <c r="I63" s="9">
        <v>375</v>
      </c>
      <c r="J63" s="15" t="str">
        <f>IF([1]!Fo_SUMMARY[[#This Row],[Realized P&amp;L]]&gt;0, "Realized Profit", "Realized Loss")</f>
        <v>Realized Loss</v>
      </c>
      <c r="K63" s="3">
        <f t="shared" si="0"/>
        <v>2</v>
      </c>
      <c r="L63" s="3" t="str">
        <f t="shared" si="1"/>
        <v>Q2</v>
      </c>
      <c r="M63" s="3">
        <f t="shared" si="2"/>
        <v>5</v>
      </c>
      <c r="N63" s="3" t="str">
        <f t="shared" si="3"/>
        <v>May</v>
      </c>
      <c r="O63" s="3">
        <f t="shared" si="4"/>
        <v>21</v>
      </c>
      <c r="P63" s="3">
        <f t="shared" si="5"/>
        <v>5</v>
      </c>
      <c r="Q63" s="3" t="str">
        <f t="shared" si="6"/>
        <v>Fri</v>
      </c>
    </row>
    <row r="64" spans="1:17" x14ac:dyDescent="0.3">
      <c r="A64" s="7" t="s">
        <v>64</v>
      </c>
      <c r="B64" s="7">
        <v>500</v>
      </c>
      <c r="C64" s="8">
        <v>45799</v>
      </c>
      <c r="D64" s="9">
        <v>7.75</v>
      </c>
      <c r="E64" s="9">
        <v>3875</v>
      </c>
      <c r="F64" s="8">
        <v>45803</v>
      </c>
      <c r="G64" s="9">
        <v>2</v>
      </c>
      <c r="H64" s="9">
        <v>1000</v>
      </c>
      <c r="I64" s="9">
        <v>-2875</v>
      </c>
      <c r="J64" s="15" t="str">
        <f>IF([1]!Fo_SUMMARY[[#This Row],[Realized P&amp;L]]&gt;0, "Realized Profit", "Realized Loss")</f>
        <v>Realized Profit</v>
      </c>
      <c r="K64" s="3">
        <f t="shared" si="0"/>
        <v>2</v>
      </c>
      <c r="L64" s="3" t="str">
        <f t="shared" si="1"/>
        <v>Q2</v>
      </c>
      <c r="M64" s="3">
        <f t="shared" si="2"/>
        <v>5</v>
      </c>
      <c r="N64" s="3" t="str">
        <f t="shared" si="3"/>
        <v>May</v>
      </c>
      <c r="O64" s="3">
        <f t="shared" si="4"/>
        <v>21</v>
      </c>
      <c r="P64" s="3">
        <f t="shared" si="5"/>
        <v>4</v>
      </c>
      <c r="Q64" s="3" t="str">
        <f t="shared" si="6"/>
        <v>Thu</v>
      </c>
    </row>
    <row r="65" spans="1:17" x14ac:dyDescent="0.3">
      <c r="A65" s="7" t="s">
        <v>45</v>
      </c>
      <c r="B65" s="7">
        <v>550</v>
      </c>
      <c r="C65" s="8">
        <v>45803</v>
      </c>
      <c r="D65" s="9">
        <v>3.8</v>
      </c>
      <c r="E65" s="9">
        <v>2090</v>
      </c>
      <c r="F65" s="8">
        <v>45805</v>
      </c>
      <c r="G65" s="9">
        <v>0.1</v>
      </c>
      <c r="H65" s="9">
        <v>55</v>
      </c>
      <c r="I65" s="9">
        <v>-2035</v>
      </c>
      <c r="J65" s="15" t="str">
        <f>IF([1]!Fo_SUMMARY[[#This Row],[Realized P&amp;L]]&gt;0, "Realized Profit", "Realized Loss")</f>
        <v>Realized Loss</v>
      </c>
      <c r="K65" s="3">
        <f t="shared" si="0"/>
        <v>2</v>
      </c>
      <c r="L65" s="3" t="str">
        <f t="shared" si="1"/>
        <v>Q2</v>
      </c>
      <c r="M65" s="3">
        <f t="shared" si="2"/>
        <v>5</v>
      </c>
      <c r="N65" s="3" t="str">
        <f t="shared" si="3"/>
        <v>May</v>
      </c>
      <c r="O65" s="3">
        <f t="shared" si="4"/>
        <v>22</v>
      </c>
      <c r="P65" s="3">
        <f t="shared" si="5"/>
        <v>1</v>
      </c>
      <c r="Q65" s="3" t="str">
        <f t="shared" si="6"/>
        <v>Mon</v>
      </c>
    </row>
    <row r="66" spans="1:17" x14ac:dyDescent="0.3">
      <c r="A66" s="7" t="s">
        <v>65</v>
      </c>
      <c r="B66" s="7">
        <v>625</v>
      </c>
      <c r="C66" s="8">
        <v>45814</v>
      </c>
      <c r="D66" s="9">
        <v>7.15</v>
      </c>
      <c r="E66" s="9">
        <v>4468.75</v>
      </c>
      <c r="F66" s="8">
        <v>45814</v>
      </c>
      <c r="G66" s="9">
        <v>7.3</v>
      </c>
      <c r="H66" s="9">
        <v>4562.5</v>
      </c>
      <c r="I66" s="9">
        <v>93.75</v>
      </c>
      <c r="J66" s="15" t="str">
        <f>IF([1]!Fo_SUMMARY[[#This Row],[Realized P&amp;L]]&gt;0, "Realized Profit", "Realized Loss")</f>
        <v>Realized Profit</v>
      </c>
      <c r="K66" s="3">
        <f t="shared" si="0"/>
        <v>2</v>
      </c>
      <c r="L66" s="3" t="str">
        <f t="shared" si="1"/>
        <v>Q2</v>
      </c>
      <c r="M66" s="3">
        <f t="shared" si="2"/>
        <v>6</v>
      </c>
      <c r="N66" s="3" t="str">
        <f t="shared" si="3"/>
        <v>Jun</v>
      </c>
      <c r="O66" s="3">
        <f t="shared" si="4"/>
        <v>23</v>
      </c>
      <c r="P66" s="3">
        <f t="shared" si="5"/>
        <v>5</v>
      </c>
      <c r="Q66" s="3" t="str">
        <f t="shared" si="6"/>
        <v>Fri</v>
      </c>
    </row>
    <row r="67" spans="1:17" x14ac:dyDescent="0.3">
      <c r="A67" s="7" t="s">
        <v>66</v>
      </c>
      <c r="B67" s="7">
        <v>550</v>
      </c>
      <c r="C67" s="8">
        <v>45811</v>
      </c>
      <c r="D67" s="9">
        <v>7.75</v>
      </c>
      <c r="E67" s="9">
        <v>4262.5</v>
      </c>
      <c r="F67" s="8">
        <v>45814</v>
      </c>
      <c r="G67" s="9">
        <v>8.6999999999999993</v>
      </c>
      <c r="H67" s="9">
        <v>4785</v>
      </c>
      <c r="I67" s="9">
        <v>522.5</v>
      </c>
      <c r="J67" s="15" t="str">
        <f>IF([1]!Fo_SUMMARY[[#This Row],[Realized P&amp;L]]&gt;0, "Realized Profit", "Realized Loss")</f>
        <v>Realized Profit</v>
      </c>
      <c r="K67" s="3">
        <f t="shared" ref="K67:K90" si="7">ROUNDUP(MONTH(C67)/3, 0)</f>
        <v>2</v>
      </c>
      <c r="L67" s="3" t="str">
        <f t="shared" ref="L67:L90" si="8">"Q"&amp;ROUNDUP(MONTH(C67)/3, 0)</f>
        <v>Q2</v>
      </c>
      <c r="M67" s="3">
        <f t="shared" ref="M67:M90" si="9">MONTH(C67)</f>
        <v>6</v>
      </c>
      <c r="N67" s="3" t="str">
        <f t="shared" ref="N67:N90" si="10">TEXT(C67, "MMM")</f>
        <v>Jun</v>
      </c>
      <c r="O67" s="3">
        <f t="shared" ref="O67:O90" si="11">WEEKNUM(C67,2)</f>
        <v>23</v>
      </c>
      <c r="P67" s="3">
        <f t="shared" ref="P67:P90" si="12">WEEKDAY(C67,2)</f>
        <v>2</v>
      </c>
      <c r="Q67" s="3" t="str">
        <f t="shared" ref="Q67:Q90" si="13">TEXT(C67, "DDD")</f>
        <v>Tue</v>
      </c>
    </row>
    <row r="68" spans="1:17" x14ac:dyDescent="0.3">
      <c r="A68" s="7" t="s">
        <v>67</v>
      </c>
      <c r="B68" s="7">
        <v>550</v>
      </c>
      <c r="C68" s="8">
        <v>45814</v>
      </c>
      <c r="D68" s="9">
        <v>6.5</v>
      </c>
      <c r="E68" s="9">
        <v>3575</v>
      </c>
      <c r="F68" s="8">
        <v>45824</v>
      </c>
      <c r="G68" s="9">
        <v>0.6</v>
      </c>
      <c r="H68" s="9">
        <v>330</v>
      </c>
      <c r="I68" s="9">
        <v>-3245</v>
      </c>
      <c r="J68" s="15" t="str">
        <f>IF([1]!Fo_SUMMARY[[#This Row],[Realized P&amp;L]]&gt;0, "Realized Profit", "Realized Loss")</f>
        <v>Realized Loss</v>
      </c>
      <c r="K68" s="3">
        <f t="shared" si="7"/>
        <v>2</v>
      </c>
      <c r="L68" s="3" t="str">
        <f t="shared" si="8"/>
        <v>Q2</v>
      </c>
      <c r="M68" s="3">
        <f t="shared" si="9"/>
        <v>6</v>
      </c>
      <c r="N68" s="3" t="str">
        <f t="shared" si="10"/>
        <v>Jun</v>
      </c>
      <c r="O68" s="3">
        <f t="shared" si="11"/>
        <v>23</v>
      </c>
      <c r="P68" s="3">
        <f t="shared" si="12"/>
        <v>5</v>
      </c>
      <c r="Q68" s="3" t="str">
        <f t="shared" si="13"/>
        <v>Fri</v>
      </c>
    </row>
    <row r="69" spans="1:17" x14ac:dyDescent="0.3">
      <c r="A69" s="7" t="s">
        <v>68</v>
      </c>
      <c r="B69" s="7">
        <v>800</v>
      </c>
      <c r="C69" s="8">
        <v>45840</v>
      </c>
      <c r="D69" s="9">
        <v>9</v>
      </c>
      <c r="E69" s="9">
        <v>7200</v>
      </c>
      <c r="F69" s="8">
        <v>45841</v>
      </c>
      <c r="G69" s="9">
        <v>9.75</v>
      </c>
      <c r="H69" s="9">
        <v>7800</v>
      </c>
      <c r="I69" s="9">
        <v>600</v>
      </c>
      <c r="J69" s="15" t="str">
        <f>IF([1]!Fo_SUMMARY[[#This Row],[Realized P&amp;L]]&gt;0, "Realized Profit", "Realized Loss")</f>
        <v>Realized Profit</v>
      </c>
      <c r="K69" s="3">
        <f t="shared" si="7"/>
        <v>3</v>
      </c>
      <c r="L69" s="3" t="str">
        <f t="shared" si="8"/>
        <v>Q3</v>
      </c>
      <c r="M69" s="3">
        <f t="shared" si="9"/>
        <v>7</v>
      </c>
      <c r="N69" s="3" t="str">
        <f t="shared" si="10"/>
        <v>Jul</v>
      </c>
      <c r="O69" s="3">
        <f t="shared" si="11"/>
        <v>27</v>
      </c>
      <c r="P69" s="3">
        <f t="shared" si="12"/>
        <v>3</v>
      </c>
      <c r="Q69" s="3" t="str">
        <f t="shared" si="13"/>
        <v>Wed</v>
      </c>
    </row>
    <row r="70" spans="1:17" x14ac:dyDescent="0.3">
      <c r="A70" s="7" t="s">
        <v>69</v>
      </c>
      <c r="B70" s="7">
        <v>550</v>
      </c>
      <c r="C70" s="8">
        <v>45841</v>
      </c>
      <c r="D70" s="9">
        <v>12.5</v>
      </c>
      <c r="E70" s="9">
        <v>6875</v>
      </c>
      <c r="F70" s="8">
        <v>45854</v>
      </c>
      <c r="G70" s="9">
        <v>5.0999999999999996</v>
      </c>
      <c r="H70" s="9">
        <v>2805</v>
      </c>
      <c r="I70" s="9">
        <v>-4070</v>
      </c>
      <c r="J70" s="15" t="str">
        <f>IF([1]!Fo_SUMMARY[[#This Row],[Realized P&amp;L]]&gt;0, "Realized Profit", "Realized Loss")</f>
        <v>Realized Loss</v>
      </c>
      <c r="K70" s="3">
        <f t="shared" si="7"/>
        <v>3</v>
      </c>
      <c r="L70" s="3" t="str">
        <f t="shared" si="8"/>
        <v>Q3</v>
      </c>
      <c r="M70" s="3">
        <f t="shared" si="9"/>
        <v>7</v>
      </c>
      <c r="N70" s="3" t="str">
        <f t="shared" si="10"/>
        <v>Jul</v>
      </c>
      <c r="O70" s="3">
        <f t="shared" si="11"/>
        <v>27</v>
      </c>
      <c r="P70" s="3">
        <f t="shared" si="12"/>
        <v>4</v>
      </c>
      <c r="Q70" s="3" t="str">
        <f t="shared" si="13"/>
        <v>Thu</v>
      </c>
    </row>
    <row r="71" spans="1:17" x14ac:dyDescent="0.3">
      <c r="A71" s="7" t="s">
        <v>70</v>
      </c>
      <c r="B71" s="7">
        <v>500</v>
      </c>
      <c r="C71" s="8">
        <v>45881</v>
      </c>
      <c r="D71" s="9">
        <v>12.85</v>
      </c>
      <c r="E71" s="9">
        <v>6425</v>
      </c>
      <c r="F71" s="8">
        <v>45883</v>
      </c>
      <c r="G71" s="9">
        <v>7.5</v>
      </c>
      <c r="H71" s="9">
        <v>3750</v>
      </c>
      <c r="I71" s="9">
        <v>-2675</v>
      </c>
      <c r="J71" s="15" t="str">
        <f>IF([1]!Fo_SUMMARY[[#This Row],[Realized P&amp;L]]&gt;0, "Realized Profit", "Realized Loss")</f>
        <v>Realized Loss</v>
      </c>
      <c r="K71" s="3">
        <f t="shared" si="7"/>
        <v>3</v>
      </c>
      <c r="L71" s="3" t="str">
        <f t="shared" si="8"/>
        <v>Q3</v>
      </c>
      <c r="M71" s="3">
        <f t="shared" si="9"/>
        <v>8</v>
      </c>
      <c r="N71" s="3" t="str">
        <f t="shared" si="10"/>
        <v>Aug</v>
      </c>
      <c r="O71" s="3">
        <f t="shared" si="11"/>
        <v>33</v>
      </c>
      <c r="P71" s="3">
        <f t="shared" si="12"/>
        <v>2</v>
      </c>
      <c r="Q71" s="3" t="str">
        <f t="shared" si="13"/>
        <v>Tue</v>
      </c>
    </row>
    <row r="72" spans="1:17" x14ac:dyDescent="0.3">
      <c r="A72" s="7" t="s">
        <v>71</v>
      </c>
      <c r="B72" s="7">
        <v>75</v>
      </c>
      <c r="C72" s="8">
        <v>45916</v>
      </c>
      <c r="D72" s="9">
        <v>28</v>
      </c>
      <c r="E72" s="9">
        <v>2100</v>
      </c>
      <c r="F72" s="8">
        <v>45916</v>
      </c>
      <c r="G72" s="9">
        <v>14</v>
      </c>
      <c r="H72" s="9">
        <v>1050</v>
      </c>
      <c r="I72" s="9">
        <v>-1050</v>
      </c>
      <c r="J72" s="15" t="str">
        <f>IF([1]!Fo_SUMMARY[[#This Row],[Realized P&amp;L]]&gt;0, "Realized Profit", "Realized Loss")</f>
        <v>Realized Loss</v>
      </c>
      <c r="K72" s="3">
        <f t="shared" si="7"/>
        <v>3</v>
      </c>
      <c r="L72" s="3" t="str">
        <f t="shared" si="8"/>
        <v>Q3</v>
      </c>
      <c r="M72" s="3">
        <f t="shared" si="9"/>
        <v>9</v>
      </c>
      <c r="N72" s="3" t="str">
        <f t="shared" si="10"/>
        <v>Sep</v>
      </c>
      <c r="O72" s="3">
        <f t="shared" si="11"/>
        <v>38</v>
      </c>
      <c r="P72" s="3">
        <f t="shared" si="12"/>
        <v>2</v>
      </c>
      <c r="Q72" s="3" t="str">
        <f t="shared" si="13"/>
        <v>Tue</v>
      </c>
    </row>
    <row r="73" spans="1:17" x14ac:dyDescent="0.3">
      <c r="A73" s="7" t="s">
        <v>72</v>
      </c>
      <c r="B73" s="7">
        <v>20</v>
      </c>
      <c r="C73" s="8">
        <v>45917</v>
      </c>
      <c r="D73" s="9">
        <v>88</v>
      </c>
      <c r="E73" s="9">
        <v>1760</v>
      </c>
      <c r="F73" s="8">
        <v>45918</v>
      </c>
      <c r="G73" s="9">
        <v>153.55000000000001</v>
      </c>
      <c r="H73" s="9">
        <v>3071</v>
      </c>
      <c r="I73" s="9">
        <v>1311</v>
      </c>
      <c r="J73" s="15" t="str">
        <f>IF([1]!Fo_SUMMARY[[#This Row],[Realized P&amp;L]]&gt;0, "Realized Profit", "Realized Loss")</f>
        <v>Realized Profit</v>
      </c>
      <c r="K73" s="3">
        <f t="shared" si="7"/>
        <v>3</v>
      </c>
      <c r="L73" s="3" t="str">
        <f t="shared" si="8"/>
        <v>Q3</v>
      </c>
      <c r="M73" s="3">
        <f t="shared" si="9"/>
        <v>9</v>
      </c>
      <c r="N73" s="3" t="str">
        <f t="shared" si="10"/>
        <v>Sep</v>
      </c>
      <c r="O73" s="3">
        <f t="shared" si="11"/>
        <v>38</v>
      </c>
      <c r="P73" s="3">
        <f t="shared" si="12"/>
        <v>3</v>
      </c>
      <c r="Q73" s="3" t="str">
        <f t="shared" si="13"/>
        <v>Wed</v>
      </c>
    </row>
    <row r="74" spans="1:17" x14ac:dyDescent="0.3">
      <c r="A74" s="7" t="s">
        <v>73</v>
      </c>
      <c r="B74" s="7">
        <v>100</v>
      </c>
      <c r="C74" s="8">
        <v>45919</v>
      </c>
      <c r="D74" s="9">
        <v>23.5</v>
      </c>
      <c r="E74" s="9">
        <v>2350</v>
      </c>
      <c r="F74" s="8">
        <v>45919</v>
      </c>
      <c r="G74" s="9">
        <v>30.5</v>
      </c>
      <c r="H74" s="9">
        <v>3050</v>
      </c>
      <c r="I74" s="9">
        <v>700</v>
      </c>
      <c r="J74" s="15" t="str">
        <f>IF([1]!Fo_SUMMARY[[#This Row],[Realized P&amp;L]]&gt;0, "Realized Profit", "Realized Loss")</f>
        <v>Realized Profit</v>
      </c>
      <c r="K74" s="3">
        <f t="shared" si="7"/>
        <v>3</v>
      </c>
      <c r="L74" s="3" t="str">
        <f t="shared" si="8"/>
        <v>Q3</v>
      </c>
      <c r="M74" s="3">
        <f t="shared" si="9"/>
        <v>9</v>
      </c>
      <c r="N74" s="3" t="str">
        <f t="shared" si="10"/>
        <v>Sep</v>
      </c>
      <c r="O74" s="3">
        <f t="shared" si="11"/>
        <v>38</v>
      </c>
      <c r="P74" s="3">
        <f t="shared" si="12"/>
        <v>5</v>
      </c>
      <c r="Q74" s="3" t="str">
        <f t="shared" si="13"/>
        <v>Fri</v>
      </c>
    </row>
    <row r="75" spans="1:17" x14ac:dyDescent="0.3">
      <c r="A75" s="7" t="s">
        <v>74</v>
      </c>
      <c r="B75" s="7">
        <v>75</v>
      </c>
      <c r="C75" s="8">
        <v>45922</v>
      </c>
      <c r="D75" s="9">
        <v>50</v>
      </c>
      <c r="E75" s="9">
        <v>3750</v>
      </c>
      <c r="F75" s="8">
        <v>45923</v>
      </c>
      <c r="G75" s="9">
        <v>3.15</v>
      </c>
      <c r="H75" s="9">
        <v>236.25</v>
      </c>
      <c r="I75" s="9">
        <v>-3513.75</v>
      </c>
      <c r="J75" s="15" t="str">
        <f>IF([1]!Fo_SUMMARY[[#This Row],[Realized P&amp;L]]&gt;0, "Realized Profit", "Realized Loss")</f>
        <v>Realized Loss</v>
      </c>
      <c r="K75" s="3">
        <f t="shared" si="7"/>
        <v>3</v>
      </c>
      <c r="L75" s="3" t="str">
        <f t="shared" si="8"/>
        <v>Q3</v>
      </c>
      <c r="M75" s="3">
        <f t="shared" si="9"/>
        <v>9</v>
      </c>
      <c r="N75" s="3" t="str">
        <f t="shared" si="10"/>
        <v>Sep</v>
      </c>
      <c r="O75" s="3">
        <f t="shared" si="11"/>
        <v>39</v>
      </c>
      <c r="P75" s="3">
        <f t="shared" si="12"/>
        <v>1</v>
      </c>
      <c r="Q75" s="3" t="str">
        <f t="shared" si="13"/>
        <v>Mon</v>
      </c>
    </row>
    <row r="76" spans="1:17" x14ac:dyDescent="0.3">
      <c r="A76" s="7" t="s">
        <v>75</v>
      </c>
      <c r="B76" s="7">
        <v>75</v>
      </c>
      <c r="C76" s="8">
        <v>45936</v>
      </c>
      <c r="D76" s="9">
        <v>37</v>
      </c>
      <c r="E76" s="9">
        <v>2775</v>
      </c>
      <c r="F76" s="8">
        <v>45937</v>
      </c>
      <c r="G76" s="9">
        <v>34</v>
      </c>
      <c r="H76" s="9">
        <v>2550</v>
      </c>
      <c r="I76" s="9">
        <v>-225</v>
      </c>
      <c r="J76" s="15" t="str">
        <f>IF([1]!Fo_SUMMARY[[#This Row],[Realized P&amp;L]]&gt;0, "Realized Profit", "Realized Loss")</f>
        <v>Realized Loss</v>
      </c>
      <c r="K76" s="3">
        <f t="shared" si="7"/>
        <v>4</v>
      </c>
      <c r="L76" s="3" t="str">
        <f t="shared" si="8"/>
        <v>Q4</v>
      </c>
      <c r="M76" s="3">
        <f t="shared" si="9"/>
        <v>10</v>
      </c>
      <c r="N76" s="3" t="str">
        <f t="shared" si="10"/>
        <v>Oct</v>
      </c>
      <c r="O76" s="3">
        <f t="shared" si="11"/>
        <v>41</v>
      </c>
      <c r="P76" s="3">
        <f t="shared" si="12"/>
        <v>1</v>
      </c>
      <c r="Q76" s="3" t="str">
        <f t="shared" si="13"/>
        <v>Mon</v>
      </c>
    </row>
    <row r="77" spans="1:17" x14ac:dyDescent="0.3">
      <c r="A77" s="7" t="s">
        <v>76</v>
      </c>
      <c r="B77" s="7">
        <v>75</v>
      </c>
      <c r="C77" s="8">
        <v>45937</v>
      </c>
      <c r="D77" s="9">
        <v>20</v>
      </c>
      <c r="E77" s="9">
        <v>1500</v>
      </c>
      <c r="F77" s="8">
        <v>45937</v>
      </c>
      <c r="G77" s="9">
        <v>30</v>
      </c>
      <c r="H77" s="9">
        <v>2250</v>
      </c>
      <c r="I77" s="9">
        <v>750</v>
      </c>
      <c r="J77" s="15" t="str">
        <f>IF([1]!Fo_SUMMARY[[#This Row],[Realized P&amp;L]]&gt;0, "Realized Profit", "Realized Loss")</f>
        <v>Realized Profit</v>
      </c>
      <c r="K77" s="3">
        <f t="shared" si="7"/>
        <v>4</v>
      </c>
      <c r="L77" s="3" t="str">
        <f t="shared" si="8"/>
        <v>Q4</v>
      </c>
      <c r="M77" s="3">
        <f t="shared" si="9"/>
        <v>10</v>
      </c>
      <c r="N77" s="3" t="str">
        <f t="shared" si="10"/>
        <v>Oct</v>
      </c>
      <c r="O77" s="3">
        <f t="shared" si="11"/>
        <v>41</v>
      </c>
      <c r="P77" s="3">
        <f t="shared" si="12"/>
        <v>2</v>
      </c>
      <c r="Q77" s="3" t="str">
        <f t="shared" si="13"/>
        <v>Tue</v>
      </c>
    </row>
    <row r="78" spans="1:17" x14ac:dyDescent="0.3">
      <c r="A78" s="7" t="s">
        <v>76</v>
      </c>
      <c r="B78" s="7">
        <v>75</v>
      </c>
      <c r="C78" s="8">
        <v>45937</v>
      </c>
      <c r="D78" s="9">
        <v>30</v>
      </c>
      <c r="E78" s="9">
        <v>2250</v>
      </c>
      <c r="F78" s="8">
        <v>45937</v>
      </c>
      <c r="G78" s="9">
        <v>42</v>
      </c>
      <c r="H78" s="9">
        <v>3150</v>
      </c>
      <c r="I78" s="9">
        <v>900</v>
      </c>
      <c r="J78" s="15" t="str">
        <f>IF([1]!Fo_SUMMARY[[#This Row],[Realized P&amp;L]]&gt;0, "Realized Profit", "Realized Loss")</f>
        <v>Realized Profit</v>
      </c>
      <c r="K78" s="3">
        <f t="shared" si="7"/>
        <v>4</v>
      </c>
      <c r="L78" s="3" t="str">
        <f t="shared" si="8"/>
        <v>Q4</v>
      </c>
      <c r="M78" s="3">
        <f t="shared" si="9"/>
        <v>10</v>
      </c>
      <c r="N78" s="3" t="str">
        <f t="shared" si="10"/>
        <v>Oct</v>
      </c>
      <c r="O78" s="3">
        <f t="shared" si="11"/>
        <v>41</v>
      </c>
      <c r="P78" s="3">
        <f t="shared" si="12"/>
        <v>2</v>
      </c>
      <c r="Q78" s="3" t="str">
        <f t="shared" si="13"/>
        <v>Tue</v>
      </c>
    </row>
    <row r="79" spans="1:17" x14ac:dyDescent="0.3">
      <c r="A79" s="7" t="s">
        <v>76</v>
      </c>
      <c r="B79" s="7">
        <v>75</v>
      </c>
      <c r="C79" s="8">
        <v>45937</v>
      </c>
      <c r="D79" s="9">
        <v>22</v>
      </c>
      <c r="E79" s="9">
        <v>1650</v>
      </c>
      <c r="F79" s="8">
        <v>45937</v>
      </c>
      <c r="G79" s="9">
        <v>14</v>
      </c>
      <c r="H79" s="9">
        <v>1050</v>
      </c>
      <c r="I79" s="9">
        <v>-600</v>
      </c>
      <c r="J79" s="15" t="str">
        <f>IF([1]!Fo_SUMMARY[[#This Row],[Realized P&amp;L]]&gt;0, "Realized Profit", "Realized Loss")</f>
        <v>Realized Loss</v>
      </c>
      <c r="K79" s="3">
        <f t="shared" si="7"/>
        <v>4</v>
      </c>
      <c r="L79" s="3" t="str">
        <f t="shared" si="8"/>
        <v>Q4</v>
      </c>
      <c r="M79" s="3">
        <f t="shared" si="9"/>
        <v>10</v>
      </c>
      <c r="N79" s="3" t="str">
        <f t="shared" si="10"/>
        <v>Oct</v>
      </c>
      <c r="O79" s="3">
        <f t="shared" si="11"/>
        <v>41</v>
      </c>
      <c r="P79" s="3">
        <f t="shared" si="12"/>
        <v>2</v>
      </c>
      <c r="Q79" s="3" t="str">
        <f t="shared" si="13"/>
        <v>Tue</v>
      </c>
    </row>
    <row r="80" spans="1:17" x14ac:dyDescent="0.3">
      <c r="A80" s="7" t="s">
        <v>77</v>
      </c>
      <c r="B80" s="7">
        <v>75</v>
      </c>
      <c r="C80" s="8">
        <v>45937</v>
      </c>
      <c r="D80" s="9">
        <v>25</v>
      </c>
      <c r="E80" s="9">
        <v>1875</v>
      </c>
      <c r="F80" s="8">
        <v>45937</v>
      </c>
      <c r="G80" s="9">
        <v>5</v>
      </c>
      <c r="H80" s="9">
        <v>375</v>
      </c>
      <c r="I80" s="9">
        <v>-1500</v>
      </c>
      <c r="J80" s="15" t="str">
        <f>IF([1]!Fo_SUMMARY[[#This Row],[Realized P&amp;L]]&gt;0, "Realized Profit", "Realized Loss")</f>
        <v>Realized Loss</v>
      </c>
      <c r="K80" s="3">
        <f t="shared" si="7"/>
        <v>4</v>
      </c>
      <c r="L80" s="3" t="str">
        <f t="shared" si="8"/>
        <v>Q4</v>
      </c>
      <c r="M80" s="3">
        <f t="shared" si="9"/>
        <v>10</v>
      </c>
      <c r="N80" s="3" t="str">
        <f t="shared" si="10"/>
        <v>Oct</v>
      </c>
      <c r="O80" s="3">
        <f t="shared" si="11"/>
        <v>41</v>
      </c>
      <c r="P80" s="3">
        <f t="shared" si="12"/>
        <v>2</v>
      </c>
      <c r="Q80" s="3" t="str">
        <f t="shared" si="13"/>
        <v>Tue</v>
      </c>
    </row>
    <row r="81" spans="1:17" x14ac:dyDescent="0.3">
      <c r="A81" s="7" t="s">
        <v>78</v>
      </c>
      <c r="B81" s="7">
        <v>75</v>
      </c>
      <c r="C81" s="8">
        <v>45939</v>
      </c>
      <c r="D81" s="9">
        <v>105</v>
      </c>
      <c r="E81" s="9">
        <v>7875</v>
      </c>
      <c r="F81" s="8">
        <v>45939</v>
      </c>
      <c r="G81" s="9">
        <v>135</v>
      </c>
      <c r="H81" s="9">
        <v>10125</v>
      </c>
      <c r="I81" s="9">
        <v>2250</v>
      </c>
      <c r="J81" s="15" t="str">
        <f>IF([1]!Fo_SUMMARY[[#This Row],[Realized P&amp;L]]&gt;0, "Realized Profit", "Realized Loss")</f>
        <v>Realized Profit</v>
      </c>
      <c r="K81" s="3">
        <f t="shared" si="7"/>
        <v>4</v>
      </c>
      <c r="L81" s="3" t="str">
        <f t="shared" si="8"/>
        <v>Q4</v>
      </c>
      <c r="M81" s="3">
        <f t="shared" si="9"/>
        <v>10</v>
      </c>
      <c r="N81" s="3" t="str">
        <f t="shared" si="10"/>
        <v>Oct</v>
      </c>
      <c r="O81" s="3">
        <f t="shared" si="11"/>
        <v>41</v>
      </c>
      <c r="P81" s="3">
        <f t="shared" si="12"/>
        <v>4</v>
      </c>
      <c r="Q81" s="3" t="str">
        <f t="shared" si="13"/>
        <v>Thu</v>
      </c>
    </row>
    <row r="82" spans="1:17" x14ac:dyDescent="0.3">
      <c r="A82" s="7" t="s">
        <v>79</v>
      </c>
      <c r="B82" s="7">
        <v>75</v>
      </c>
      <c r="C82" s="8">
        <v>45940</v>
      </c>
      <c r="D82" s="9">
        <v>110</v>
      </c>
      <c r="E82" s="9">
        <v>8250</v>
      </c>
      <c r="F82" s="8">
        <v>45940</v>
      </c>
      <c r="G82" s="9">
        <v>125</v>
      </c>
      <c r="H82" s="9">
        <v>9375</v>
      </c>
      <c r="I82" s="9">
        <v>1125</v>
      </c>
      <c r="J82" s="15" t="str">
        <f>IF([1]!Fo_SUMMARY[[#This Row],[Realized P&amp;L]]&gt;0, "Realized Profit", "Realized Loss")</f>
        <v>Realized Profit</v>
      </c>
      <c r="K82" s="3">
        <f t="shared" si="7"/>
        <v>4</v>
      </c>
      <c r="L82" s="3" t="str">
        <f t="shared" si="8"/>
        <v>Q4</v>
      </c>
      <c r="M82" s="3">
        <f t="shared" si="9"/>
        <v>10</v>
      </c>
      <c r="N82" s="3" t="str">
        <f t="shared" si="10"/>
        <v>Oct</v>
      </c>
      <c r="O82" s="3">
        <f t="shared" si="11"/>
        <v>41</v>
      </c>
      <c r="P82" s="3">
        <f t="shared" si="12"/>
        <v>5</v>
      </c>
      <c r="Q82" s="3" t="str">
        <f t="shared" si="13"/>
        <v>Fri</v>
      </c>
    </row>
    <row r="83" spans="1:17" x14ac:dyDescent="0.3">
      <c r="A83" s="7" t="s">
        <v>80</v>
      </c>
      <c r="B83" s="7">
        <v>75</v>
      </c>
      <c r="C83" s="8">
        <v>45943</v>
      </c>
      <c r="D83" s="9">
        <v>60</v>
      </c>
      <c r="E83" s="9">
        <v>4500</v>
      </c>
      <c r="F83" s="8">
        <v>45943</v>
      </c>
      <c r="G83" s="9">
        <v>75</v>
      </c>
      <c r="H83" s="9">
        <v>5625</v>
      </c>
      <c r="I83" s="9">
        <v>1125</v>
      </c>
      <c r="J83" s="15" t="str">
        <f>IF([1]!Fo_SUMMARY[[#This Row],[Realized P&amp;L]]&gt;0, "Realized Profit", "Realized Loss")</f>
        <v>Realized Profit</v>
      </c>
      <c r="K83" s="3">
        <f t="shared" si="7"/>
        <v>4</v>
      </c>
      <c r="L83" s="3" t="str">
        <f t="shared" si="8"/>
        <v>Q4</v>
      </c>
      <c r="M83" s="3">
        <f t="shared" si="9"/>
        <v>10</v>
      </c>
      <c r="N83" s="3" t="str">
        <f t="shared" si="10"/>
        <v>Oct</v>
      </c>
      <c r="O83" s="3">
        <f t="shared" si="11"/>
        <v>42</v>
      </c>
      <c r="P83" s="3">
        <f t="shared" si="12"/>
        <v>1</v>
      </c>
      <c r="Q83" s="3" t="str">
        <f t="shared" si="13"/>
        <v>Mon</v>
      </c>
    </row>
    <row r="84" spans="1:17" x14ac:dyDescent="0.3">
      <c r="A84" s="7" t="s">
        <v>79</v>
      </c>
      <c r="B84" s="7">
        <v>75</v>
      </c>
      <c r="C84" s="8">
        <v>45944</v>
      </c>
      <c r="D84" s="9">
        <v>48</v>
      </c>
      <c r="E84" s="9">
        <v>3600</v>
      </c>
      <c r="F84" s="8">
        <v>45944</v>
      </c>
      <c r="G84" s="9">
        <v>0.1</v>
      </c>
      <c r="H84" s="9">
        <v>7.5</v>
      </c>
      <c r="I84" s="9">
        <v>-3592.5</v>
      </c>
      <c r="J84" s="15" t="str">
        <f>IF([1]!Fo_SUMMARY[[#This Row],[Realized P&amp;L]]&gt;0, "Realized Profit", "Realized Loss")</f>
        <v>Realized Loss</v>
      </c>
      <c r="K84" s="3">
        <f t="shared" si="7"/>
        <v>4</v>
      </c>
      <c r="L84" s="3" t="str">
        <f t="shared" si="8"/>
        <v>Q4</v>
      </c>
      <c r="M84" s="3">
        <f t="shared" si="9"/>
        <v>10</v>
      </c>
      <c r="N84" s="3" t="str">
        <f t="shared" si="10"/>
        <v>Oct</v>
      </c>
      <c r="O84" s="3">
        <f t="shared" si="11"/>
        <v>42</v>
      </c>
      <c r="P84" s="3">
        <f t="shared" si="12"/>
        <v>2</v>
      </c>
      <c r="Q84" s="3" t="str">
        <f t="shared" si="13"/>
        <v>Tue</v>
      </c>
    </row>
    <row r="85" spans="1:17" x14ac:dyDescent="0.3">
      <c r="A85" s="7" t="s">
        <v>81</v>
      </c>
      <c r="B85" s="7">
        <v>75</v>
      </c>
      <c r="C85" s="8">
        <v>45945</v>
      </c>
      <c r="D85" s="9">
        <v>120</v>
      </c>
      <c r="E85" s="9">
        <v>9000</v>
      </c>
      <c r="F85" s="8">
        <v>45945</v>
      </c>
      <c r="G85" s="9">
        <v>135</v>
      </c>
      <c r="H85" s="9">
        <v>10125</v>
      </c>
      <c r="I85" s="9">
        <v>1125</v>
      </c>
      <c r="J85" s="15" t="str">
        <f>IF([1]!Fo_SUMMARY[[#This Row],[Realized P&amp;L]]&gt;0, "Realized Profit", "Realized Loss")</f>
        <v>Realized Profit</v>
      </c>
      <c r="K85" s="3">
        <f t="shared" si="7"/>
        <v>4</v>
      </c>
      <c r="L85" s="3" t="str">
        <f t="shared" si="8"/>
        <v>Q4</v>
      </c>
      <c r="M85" s="3">
        <f t="shared" si="9"/>
        <v>10</v>
      </c>
      <c r="N85" s="3" t="str">
        <f t="shared" si="10"/>
        <v>Oct</v>
      </c>
      <c r="O85" s="3">
        <f t="shared" si="11"/>
        <v>42</v>
      </c>
      <c r="P85" s="3">
        <f t="shared" si="12"/>
        <v>3</v>
      </c>
      <c r="Q85" s="3" t="str">
        <f t="shared" si="13"/>
        <v>Wed</v>
      </c>
    </row>
    <row r="86" spans="1:17" x14ac:dyDescent="0.3">
      <c r="A86" s="7" t="s">
        <v>82</v>
      </c>
      <c r="B86" s="7">
        <v>75</v>
      </c>
      <c r="C86" s="8">
        <v>45945</v>
      </c>
      <c r="D86" s="9">
        <v>110</v>
      </c>
      <c r="E86" s="9">
        <v>8250</v>
      </c>
      <c r="F86" s="8">
        <v>45946</v>
      </c>
      <c r="G86" s="9">
        <v>130</v>
      </c>
      <c r="H86" s="9">
        <v>9750</v>
      </c>
      <c r="I86" s="9">
        <v>1500</v>
      </c>
      <c r="J86" s="15" t="str">
        <f>IF([1]!Fo_SUMMARY[[#This Row],[Realized P&amp;L]]&gt;0, "Realized Profit", "Realized Loss")</f>
        <v>Realized Profit</v>
      </c>
      <c r="K86" s="3">
        <f t="shared" si="7"/>
        <v>4</v>
      </c>
      <c r="L86" s="3" t="str">
        <f t="shared" si="8"/>
        <v>Q4</v>
      </c>
      <c r="M86" s="3">
        <f t="shared" si="9"/>
        <v>10</v>
      </c>
      <c r="N86" s="3" t="str">
        <f t="shared" si="10"/>
        <v>Oct</v>
      </c>
      <c r="O86" s="3">
        <f t="shared" si="11"/>
        <v>42</v>
      </c>
      <c r="P86" s="3">
        <f t="shared" si="12"/>
        <v>3</v>
      </c>
      <c r="Q86" s="3" t="str">
        <f t="shared" si="13"/>
        <v>Wed</v>
      </c>
    </row>
    <row r="87" spans="1:17" x14ac:dyDescent="0.3">
      <c r="A87" s="7" t="s">
        <v>83</v>
      </c>
      <c r="B87" s="7">
        <v>75</v>
      </c>
      <c r="C87" s="8">
        <v>45946</v>
      </c>
      <c r="D87" s="9">
        <v>115</v>
      </c>
      <c r="E87" s="9">
        <v>8625</v>
      </c>
      <c r="F87" s="8">
        <v>45946</v>
      </c>
      <c r="G87" s="9">
        <v>130</v>
      </c>
      <c r="H87" s="9">
        <v>9750</v>
      </c>
      <c r="I87" s="9">
        <v>1125</v>
      </c>
      <c r="J87" s="15" t="str">
        <f>IF([1]!Fo_SUMMARY[[#This Row],[Realized P&amp;L]]&gt;0, "Realized Profit", "Realized Loss")</f>
        <v>Realized Profit</v>
      </c>
      <c r="K87" s="3">
        <f t="shared" si="7"/>
        <v>4</v>
      </c>
      <c r="L87" s="3" t="str">
        <f t="shared" si="8"/>
        <v>Q4</v>
      </c>
      <c r="M87" s="3">
        <f t="shared" si="9"/>
        <v>10</v>
      </c>
      <c r="N87" s="3" t="str">
        <f t="shared" si="10"/>
        <v>Oct</v>
      </c>
      <c r="O87" s="3">
        <f t="shared" si="11"/>
        <v>42</v>
      </c>
      <c r="P87" s="3">
        <f t="shared" si="12"/>
        <v>4</v>
      </c>
      <c r="Q87" s="3" t="str">
        <f t="shared" si="13"/>
        <v>Thu</v>
      </c>
    </row>
    <row r="88" spans="1:17" x14ac:dyDescent="0.3">
      <c r="A88" s="7" t="s">
        <v>84</v>
      </c>
      <c r="B88" s="7">
        <v>75</v>
      </c>
      <c r="C88" s="8">
        <v>45946</v>
      </c>
      <c r="D88" s="9">
        <v>130</v>
      </c>
      <c r="E88" s="9">
        <v>9750</v>
      </c>
      <c r="F88" s="8">
        <v>45946</v>
      </c>
      <c r="G88" s="9">
        <v>140</v>
      </c>
      <c r="H88" s="9">
        <v>10500</v>
      </c>
      <c r="I88" s="9">
        <v>750</v>
      </c>
      <c r="J88" s="15" t="str">
        <f>IF([1]!Fo_SUMMARY[[#This Row],[Realized P&amp;L]]&gt;0, "Realized Profit", "Realized Loss")</f>
        <v>Realized Profit</v>
      </c>
      <c r="K88" s="3">
        <f t="shared" si="7"/>
        <v>4</v>
      </c>
      <c r="L88" s="3" t="str">
        <f t="shared" si="8"/>
        <v>Q4</v>
      </c>
      <c r="M88" s="3">
        <f t="shared" si="9"/>
        <v>10</v>
      </c>
      <c r="N88" s="3" t="str">
        <f t="shared" si="10"/>
        <v>Oct</v>
      </c>
      <c r="O88" s="3">
        <f t="shared" si="11"/>
        <v>42</v>
      </c>
      <c r="P88" s="3">
        <f t="shared" si="12"/>
        <v>4</v>
      </c>
      <c r="Q88" s="3" t="str">
        <f t="shared" si="13"/>
        <v>Thu</v>
      </c>
    </row>
    <row r="89" spans="1:17" x14ac:dyDescent="0.3">
      <c r="A89" s="7" t="s">
        <v>85</v>
      </c>
      <c r="B89" s="7">
        <v>75</v>
      </c>
      <c r="C89" s="8">
        <v>45947</v>
      </c>
      <c r="D89" s="9">
        <v>115</v>
      </c>
      <c r="E89" s="9">
        <v>8625</v>
      </c>
      <c r="F89" s="8">
        <v>45947</v>
      </c>
      <c r="G89" s="9">
        <v>155</v>
      </c>
      <c r="H89" s="9">
        <v>11625</v>
      </c>
      <c r="I89" s="9">
        <v>3000</v>
      </c>
      <c r="J89" s="15" t="str">
        <f>IF([1]!Fo_SUMMARY[[#This Row],[Realized P&amp;L]]&gt;0, "Realized Profit", "Realized Loss")</f>
        <v>Realized Profit</v>
      </c>
      <c r="K89" s="3">
        <f t="shared" si="7"/>
        <v>4</v>
      </c>
      <c r="L89" s="3" t="str">
        <f t="shared" si="8"/>
        <v>Q4</v>
      </c>
      <c r="M89" s="3">
        <f t="shared" si="9"/>
        <v>10</v>
      </c>
      <c r="N89" s="3" t="str">
        <f t="shared" si="10"/>
        <v>Oct</v>
      </c>
      <c r="O89" s="3">
        <f t="shared" si="11"/>
        <v>42</v>
      </c>
      <c r="P89" s="3">
        <f t="shared" si="12"/>
        <v>5</v>
      </c>
      <c r="Q89" s="3" t="str">
        <f t="shared" si="13"/>
        <v>Fri</v>
      </c>
    </row>
    <row r="90" spans="1:17" x14ac:dyDescent="0.3">
      <c r="A90" s="7" t="s">
        <v>86</v>
      </c>
      <c r="B90" s="7">
        <v>75</v>
      </c>
      <c r="C90" s="8">
        <v>45947</v>
      </c>
      <c r="D90" s="9">
        <v>115</v>
      </c>
      <c r="E90" s="9">
        <v>8625</v>
      </c>
      <c r="F90" s="8">
        <v>45947</v>
      </c>
      <c r="G90" s="9">
        <v>135</v>
      </c>
      <c r="H90" s="9">
        <v>10125</v>
      </c>
      <c r="I90" s="9">
        <v>1500</v>
      </c>
      <c r="J90" s="15" t="str">
        <f>IF([1]!Fo_SUMMARY[[#This Row],[Realized P&amp;L]]&gt;0, "Realized Profit", "Realized Loss")</f>
        <v>Realized Profit</v>
      </c>
      <c r="K90" s="3">
        <f t="shared" si="7"/>
        <v>4</v>
      </c>
      <c r="L90" s="3" t="str">
        <f t="shared" si="8"/>
        <v>Q4</v>
      </c>
      <c r="M90" s="3">
        <f t="shared" si="9"/>
        <v>10</v>
      </c>
      <c r="N90" s="3" t="str">
        <f t="shared" si="10"/>
        <v>Oct</v>
      </c>
      <c r="O90" s="3">
        <f t="shared" si="11"/>
        <v>42</v>
      </c>
      <c r="P90" s="3">
        <f t="shared" si="12"/>
        <v>5</v>
      </c>
      <c r="Q90" s="3" t="str">
        <f t="shared" si="13"/>
        <v>Fri</v>
      </c>
    </row>
    <row r="91" spans="1:17" x14ac:dyDescent="0.3">
      <c r="A91" s="10" t="s">
        <v>95</v>
      </c>
      <c r="B91" s="10">
        <v>75</v>
      </c>
      <c r="C91" s="11">
        <v>45950</v>
      </c>
      <c r="D91" s="12">
        <v>180</v>
      </c>
      <c r="E91" s="12">
        <v>13500</v>
      </c>
      <c r="F91" s="11">
        <v>45953</v>
      </c>
      <c r="G91" s="12">
        <v>240.5</v>
      </c>
      <c r="H91" s="12">
        <f>[1]!Fo_SUMMARY[[#This Row],[Sell Price]]*[1]!Fo_SUMMARY[[#This Row],[Quantity]]</f>
        <v>18037.5</v>
      </c>
      <c r="I91" s="12">
        <f>[1]!Fo_SUMMARY[[#This Row],[Sell Value]]-[1]!Fo_SUMMARY[[#This Row],[Buy Value]]</f>
        <v>4537.5</v>
      </c>
      <c r="J91" s="13" t="str">
        <f>IF([1]!Fo_SUMMARY[[#This Row],[Realized P&amp;L]]&gt;0, "Realized Profit", "Realized Loss")</f>
        <v>Realized Profit</v>
      </c>
      <c r="K91" s="14">
        <f t="shared" ref="K91:K103" si="14">ROUNDUP(MONTH(C91)/3, 0)</f>
        <v>4</v>
      </c>
      <c r="L91" s="14" t="str">
        <f t="shared" ref="L91:L103" si="15">"Q"&amp;ROUNDUP(MONTH(C91)/3, 0)</f>
        <v>Q4</v>
      </c>
      <c r="M91" s="14">
        <f t="shared" ref="M91:M103" si="16">MONTH(C91)</f>
        <v>10</v>
      </c>
      <c r="N91" s="14" t="str">
        <f t="shared" ref="N91:N103" si="17">TEXT(C91, "MMM")</f>
        <v>Oct</v>
      </c>
      <c r="O91" s="14">
        <f t="shared" ref="O91:O103" si="18">WEEKNUM(C91,2)</f>
        <v>43</v>
      </c>
      <c r="P91" s="14">
        <f t="shared" ref="P91:P103" si="19">WEEKDAY(C91,2)</f>
        <v>1</v>
      </c>
      <c r="Q91" s="14" t="str">
        <f t="shared" ref="Q91:Q103" si="20">TEXT(C91, "DDD")</f>
        <v>Mon</v>
      </c>
    </row>
    <row r="92" spans="1:17" x14ac:dyDescent="0.3">
      <c r="A92" s="10" t="s">
        <v>96</v>
      </c>
      <c r="B92" s="10">
        <v>375</v>
      </c>
      <c r="C92" s="11">
        <v>45951</v>
      </c>
      <c r="D92" s="12">
        <v>14</v>
      </c>
      <c r="E92" s="12">
        <v>5250</v>
      </c>
      <c r="F92" s="11">
        <v>45953</v>
      </c>
      <c r="G92" s="12">
        <v>7</v>
      </c>
      <c r="H92" s="12">
        <f>[1]!Fo_SUMMARY[[#This Row],[Sell Price]]*[1]!Fo_SUMMARY[[#This Row],[Quantity]]</f>
        <v>2625</v>
      </c>
      <c r="I92" s="12">
        <f>[1]!Fo_SUMMARY[[#This Row],[Sell Value]]-[1]!Fo_SUMMARY[[#This Row],[Buy Value]]</f>
        <v>-2625</v>
      </c>
      <c r="J92" s="13" t="str">
        <f>IF([1]!Fo_SUMMARY[[#This Row],[Realized P&amp;L]]&gt;0, "Realized Profit", "Realized Loss")</f>
        <v>Realized Loss</v>
      </c>
      <c r="K92" s="14">
        <f t="shared" si="14"/>
        <v>4</v>
      </c>
      <c r="L92" s="14" t="str">
        <f t="shared" si="15"/>
        <v>Q4</v>
      </c>
      <c r="M92" s="14">
        <f t="shared" si="16"/>
        <v>10</v>
      </c>
      <c r="N92" s="14" t="str">
        <f t="shared" si="17"/>
        <v>Oct</v>
      </c>
      <c r="O92" s="14">
        <f t="shared" si="18"/>
        <v>43</v>
      </c>
      <c r="P92" s="14">
        <f t="shared" si="19"/>
        <v>2</v>
      </c>
      <c r="Q92" s="14" t="str">
        <f t="shared" si="20"/>
        <v>Tue</v>
      </c>
    </row>
    <row r="93" spans="1:17" x14ac:dyDescent="0.3">
      <c r="A93" s="10" t="s">
        <v>97</v>
      </c>
      <c r="B93" s="10">
        <v>75</v>
      </c>
      <c r="C93" s="11">
        <v>45953</v>
      </c>
      <c r="D93" s="12">
        <v>149</v>
      </c>
      <c r="E93" s="12">
        <v>11175</v>
      </c>
      <c r="F93" s="11">
        <v>45960</v>
      </c>
      <c r="G93" s="12">
        <v>50</v>
      </c>
      <c r="H93" s="12">
        <f>[1]!Fo_SUMMARY[[#This Row],[Sell Price]]*[1]!Fo_SUMMARY[[#This Row],[Quantity]]</f>
        <v>3750</v>
      </c>
      <c r="I93" s="12">
        <f>[1]!Fo_SUMMARY[[#This Row],[Sell Value]]-[1]!Fo_SUMMARY[[#This Row],[Buy Value]]</f>
        <v>-7425</v>
      </c>
      <c r="J93" s="13" t="str">
        <f>IF([1]!Fo_SUMMARY[[#This Row],[Realized P&amp;L]]&gt;0, "Realized Profit", "Realized Loss")</f>
        <v>Realized Loss</v>
      </c>
      <c r="K93" s="14">
        <f t="shared" si="14"/>
        <v>4</v>
      </c>
      <c r="L93" s="14" t="str">
        <f t="shared" si="15"/>
        <v>Q4</v>
      </c>
      <c r="M93" s="14">
        <f t="shared" si="16"/>
        <v>10</v>
      </c>
      <c r="N93" s="14" t="str">
        <f t="shared" si="17"/>
        <v>Oct</v>
      </c>
      <c r="O93" s="14">
        <f t="shared" si="18"/>
        <v>43</v>
      </c>
      <c r="P93" s="14">
        <f t="shared" si="19"/>
        <v>4</v>
      </c>
      <c r="Q93" s="14" t="str">
        <f t="shared" si="20"/>
        <v>Thu</v>
      </c>
    </row>
    <row r="94" spans="1:17" x14ac:dyDescent="0.3">
      <c r="A94" s="10" t="s">
        <v>98</v>
      </c>
      <c r="B94" s="10">
        <v>75</v>
      </c>
      <c r="C94" s="11">
        <v>45973</v>
      </c>
      <c r="D94" s="12">
        <v>110</v>
      </c>
      <c r="E94" s="12">
        <v>8250</v>
      </c>
      <c r="F94" s="11">
        <v>45973</v>
      </c>
      <c r="G94" s="12">
        <v>130</v>
      </c>
      <c r="H94" s="12">
        <f>[1]!Fo_SUMMARY[[#This Row],[Sell Price]]*[1]!Fo_SUMMARY[[#This Row],[Quantity]]</f>
        <v>9750</v>
      </c>
      <c r="I94" s="12">
        <f>[1]!Fo_SUMMARY[[#This Row],[Sell Value]]-[1]!Fo_SUMMARY[[#This Row],[Buy Value]]</f>
        <v>1500</v>
      </c>
      <c r="J94" s="13" t="str">
        <f>IF([1]!Fo_SUMMARY[[#This Row],[Realized P&amp;L]]&gt;0, "Realized Profit", "Realized Loss")</f>
        <v>Realized Profit</v>
      </c>
      <c r="K94" s="14">
        <f t="shared" si="14"/>
        <v>4</v>
      </c>
      <c r="L94" s="14" t="str">
        <f t="shared" si="15"/>
        <v>Q4</v>
      </c>
      <c r="M94" s="14">
        <f t="shared" si="16"/>
        <v>11</v>
      </c>
      <c r="N94" s="14" t="str">
        <f t="shared" si="17"/>
        <v>Nov</v>
      </c>
      <c r="O94" s="14">
        <f t="shared" si="18"/>
        <v>46</v>
      </c>
      <c r="P94" s="14">
        <f t="shared" si="19"/>
        <v>3</v>
      </c>
      <c r="Q94" s="14" t="str">
        <f t="shared" si="20"/>
        <v>Wed</v>
      </c>
    </row>
    <row r="95" spans="1:17" x14ac:dyDescent="0.3">
      <c r="A95" s="10" t="s">
        <v>99</v>
      </c>
      <c r="B95" s="10">
        <v>625</v>
      </c>
      <c r="C95" s="11">
        <v>45979</v>
      </c>
      <c r="D95" s="12">
        <v>8</v>
      </c>
      <c r="E95" s="12">
        <v>5000</v>
      </c>
      <c r="F95" s="11">
        <v>45979</v>
      </c>
      <c r="G95" s="12">
        <v>9.5</v>
      </c>
      <c r="H95" s="12">
        <f>[1]!Fo_SUMMARY[[#This Row],[Sell Price]]*[1]!Fo_SUMMARY[[#This Row],[Quantity]]</f>
        <v>5937.5</v>
      </c>
      <c r="I95" s="12">
        <f>[1]!Fo_SUMMARY[[#This Row],[Sell Value]]-[1]!Fo_SUMMARY[[#This Row],[Buy Value]]</f>
        <v>937.5</v>
      </c>
      <c r="J95" s="13" t="str">
        <f>IF([1]!Fo_SUMMARY[[#This Row],[Realized P&amp;L]]&gt;0, "Realized Profit", "Realized Loss")</f>
        <v>Realized Profit</v>
      </c>
      <c r="K95" s="14">
        <f t="shared" si="14"/>
        <v>4</v>
      </c>
      <c r="L95" s="14" t="str">
        <f t="shared" si="15"/>
        <v>Q4</v>
      </c>
      <c r="M95" s="14">
        <f t="shared" si="16"/>
        <v>11</v>
      </c>
      <c r="N95" s="14" t="str">
        <f t="shared" si="17"/>
        <v>Nov</v>
      </c>
      <c r="O95" s="14">
        <f t="shared" si="18"/>
        <v>47</v>
      </c>
      <c r="P95" s="14">
        <f t="shared" si="19"/>
        <v>2</v>
      </c>
      <c r="Q95" s="14" t="str">
        <f t="shared" si="20"/>
        <v>Tue</v>
      </c>
    </row>
    <row r="96" spans="1:17" x14ac:dyDescent="0.3">
      <c r="A96" s="10" t="s">
        <v>99</v>
      </c>
      <c r="B96" s="10">
        <v>625</v>
      </c>
      <c r="C96" s="11">
        <v>45979</v>
      </c>
      <c r="D96" s="12">
        <v>12</v>
      </c>
      <c r="E96" s="12">
        <v>7500</v>
      </c>
      <c r="F96" s="11">
        <v>45979</v>
      </c>
      <c r="G96" s="12">
        <v>13</v>
      </c>
      <c r="H96" s="12">
        <f>[1]!Fo_SUMMARY[[#This Row],[Sell Price]]*[1]!Fo_SUMMARY[[#This Row],[Quantity]]</f>
        <v>8125</v>
      </c>
      <c r="I96" s="12">
        <f>[1]!Fo_SUMMARY[[#This Row],[Sell Value]]-[1]!Fo_SUMMARY[[#This Row],[Buy Value]]</f>
        <v>625</v>
      </c>
      <c r="J96" s="13" t="str">
        <f>IF([1]!Fo_SUMMARY[[#This Row],[Realized P&amp;L]]&gt;0, "Realized Profit", "Realized Loss")</f>
        <v>Realized Profit</v>
      </c>
      <c r="K96" s="14">
        <f t="shared" si="14"/>
        <v>4</v>
      </c>
      <c r="L96" s="14" t="str">
        <f t="shared" si="15"/>
        <v>Q4</v>
      </c>
      <c r="M96" s="14">
        <f t="shared" si="16"/>
        <v>11</v>
      </c>
      <c r="N96" s="14" t="str">
        <f t="shared" si="17"/>
        <v>Nov</v>
      </c>
      <c r="O96" s="14">
        <f t="shared" si="18"/>
        <v>47</v>
      </c>
      <c r="P96" s="14">
        <f t="shared" si="19"/>
        <v>2</v>
      </c>
      <c r="Q96" s="14" t="str">
        <f t="shared" si="20"/>
        <v>Tue</v>
      </c>
    </row>
    <row r="97" spans="1:17" x14ac:dyDescent="0.3">
      <c r="A97" s="10" t="s">
        <v>100</v>
      </c>
      <c r="B97" s="10">
        <v>175</v>
      </c>
      <c r="C97" s="11">
        <v>45980</v>
      </c>
      <c r="D97" s="12">
        <v>23.5</v>
      </c>
      <c r="E97" s="12">
        <v>4112.5</v>
      </c>
      <c r="F97" s="11">
        <v>45985</v>
      </c>
      <c r="G97" s="12">
        <v>13</v>
      </c>
      <c r="H97" s="12">
        <f>[1]!Fo_SUMMARY[[#This Row],[Sell Price]]*[1]!Fo_SUMMARY[[#This Row],[Quantity]]</f>
        <v>2275</v>
      </c>
      <c r="I97" s="12">
        <f>[1]!Fo_SUMMARY[[#This Row],[Sell Value]]-[1]!Fo_SUMMARY[[#This Row],[Buy Value]]</f>
        <v>-1837.5</v>
      </c>
      <c r="J97" s="13" t="str">
        <f>IF([1]!Fo_SUMMARY[[#This Row],[Realized P&amp;L]]&gt;0, "Realized Profit", "Realized Loss")</f>
        <v>Realized Loss</v>
      </c>
      <c r="K97" s="14">
        <f t="shared" si="14"/>
        <v>4</v>
      </c>
      <c r="L97" s="14" t="str">
        <f t="shared" si="15"/>
        <v>Q4</v>
      </c>
      <c r="M97" s="14">
        <f t="shared" si="16"/>
        <v>11</v>
      </c>
      <c r="N97" s="14" t="str">
        <f t="shared" si="17"/>
        <v>Nov</v>
      </c>
      <c r="O97" s="14">
        <f t="shared" si="18"/>
        <v>47</v>
      </c>
      <c r="P97" s="14">
        <f t="shared" si="19"/>
        <v>3</v>
      </c>
      <c r="Q97" s="14" t="str">
        <f t="shared" si="20"/>
        <v>Wed</v>
      </c>
    </row>
    <row r="98" spans="1:17" x14ac:dyDescent="0.3">
      <c r="A98" s="10" t="s">
        <v>101</v>
      </c>
      <c r="B98" s="10">
        <v>75</v>
      </c>
      <c r="C98" s="11">
        <v>45981</v>
      </c>
      <c r="D98" s="12">
        <v>73.5</v>
      </c>
      <c r="E98" s="12">
        <v>5512.5</v>
      </c>
      <c r="F98" s="11">
        <v>45981</v>
      </c>
      <c r="G98" s="12">
        <v>80.5</v>
      </c>
      <c r="H98" s="12">
        <f>[1]!Fo_SUMMARY[[#This Row],[Sell Price]]*[1]!Fo_SUMMARY[[#This Row],[Quantity]]</f>
        <v>6037.5</v>
      </c>
      <c r="I98" s="12">
        <f>[1]!Fo_SUMMARY[[#This Row],[Sell Value]]-[1]!Fo_SUMMARY[[#This Row],[Buy Value]]</f>
        <v>525</v>
      </c>
      <c r="J98" s="13" t="str">
        <f>IF([1]!Fo_SUMMARY[[#This Row],[Realized P&amp;L]]&gt;0, "Realized Profit", "Realized Loss")</f>
        <v>Realized Profit</v>
      </c>
      <c r="K98" s="14">
        <f t="shared" si="14"/>
        <v>4</v>
      </c>
      <c r="L98" s="14" t="str">
        <f t="shared" si="15"/>
        <v>Q4</v>
      </c>
      <c r="M98" s="14">
        <f t="shared" si="16"/>
        <v>11</v>
      </c>
      <c r="N98" s="14" t="str">
        <f t="shared" si="17"/>
        <v>Nov</v>
      </c>
      <c r="O98" s="14">
        <f t="shared" si="18"/>
        <v>47</v>
      </c>
      <c r="P98" s="14">
        <f t="shared" si="19"/>
        <v>4</v>
      </c>
      <c r="Q98" s="14" t="str">
        <f t="shared" si="20"/>
        <v>Thu</v>
      </c>
    </row>
    <row r="99" spans="1:17" x14ac:dyDescent="0.3">
      <c r="A99" s="10" t="s">
        <v>102</v>
      </c>
      <c r="B99" s="10">
        <v>175</v>
      </c>
      <c r="C99" s="11">
        <v>45985</v>
      </c>
      <c r="D99" s="12">
        <v>13</v>
      </c>
      <c r="E99" s="12">
        <v>2275</v>
      </c>
      <c r="F99" s="11">
        <v>45985</v>
      </c>
      <c r="G99" s="12">
        <v>9.5</v>
      </c>
      <c r="H99" s="12">
        <f>[1]!Fo_SUMMARY[[#This Row],[Sell Price]]*[1]!Fo_SUMMARY[[#This Row],[Quantity]]</f>
        <v>1662.5</v>
      </c>
      <c r="I99" s="12">
        <f>[1]!Fo_SUMMARY[[#This Row],[Sell Value]]-[1]!Fo_SUMMARY[[#This Row],[Buy Value]]</f>
        <v>-612.5</v>
      </c>
      <c r="J99" s="13" t="str">
        <f>IF([1]!Fo_SUMMARY[[#This Row],[Realized P&amp;L]]&gt;0, "Realized Profit", "Realized Loss")</f>
        <v>Realized Loss</v>
      </c>
      <c r="K99" s="14">
        <f t="shared" si="14"/>
        <v>4</v>
      </c>
      <c r="L99" s="14" t="str">
        <f t="shared" si="15"/>
        <v>Q4</v>
      </c>
      <c r="M99" s="14">
        <f t="shared" si="16"/>
        <v>11</v>
      </c>
      <c r="N99" s="14" t="str">
        <f t="shared" si="17"/>
        <v>Nov</v>
      </c>
      <c r="O99" s="14">
        <f t="shared" si="18"/>
        <v>48</v>
      </c>
      <c r="P99" s="14">
        <f t="shared" si="19"/>
        <v>1</v>
      </c>
      <c r="Q99" s="14" t="str">
        <f t="shared" si="20"/>
        <v>Mon</v>
      </c>
    </row>
    <row r="100" spans="1:17" x14ac:dyDescent="0.3">
      <c r="A100" s="10" t="s">
        <v>103</v>
      </c>
      <c r="B100" s="10">
        <v>75</v>
      </c>
      <c r="C100" s="11">
        <v>45987</v>
      </c>
      <c r="D100" s="12">
        <v>105</v>
      </c>
      <c r="E100" s="12">
        <v>7875</v>
      </c>
      <c r="F100" s="11">
        <v>45987</v>
      </c>
      <c r="G100" s="12">
        <v>120</v>
      </c>
      <c r="H100" s="12">
        <f>[1]!Fo_SUMMARY[[#This Row],[Sell Price]]*[1]!Fo_SUMMARY[[#This Row],[Quantity]]</f>
        <v>9000</v>
      </c>
      <c r="I100" s="12">
        <f>[1]!Fo_SUMMARY[[#This Row],[Sell Value]]-[1]!Fo_SUMMARY[[#This Row],[Buy Value]]</f>
        <v>1125</v>
      </c>
      <c r="J100" s="13" t="str">
        <f>IF([1]!Fo_SUMMARY[[#This Row],[Realized P&amp;L]]&gt;0, "Realized Profit", "Realized Loss")</f>
        <v>Realized Profit</v>
      </c>
      <c r="K100" s="14">
        <f t="shared" si="14"/>
        <v>4</v>
      </c>
      <c r="L100" s="14" t="str">
        <f t="shared" si="15"/>
        <v>Q4</v>
      </c>
      <c r="M100" s="14">
        <f t="shared" si="16"/>
        <v>11</v>
      </c>
      <c r="N100" s="14" t="str">
        <f t="shared" si="17"/>
        <v>Nov</v>
      </c>
      <c r="O100" s="14">
        <f t="shared" si="18"/>
        <v>48</v>
      </c>
      <c r="P100" s="14">
        <f t="shared" si="19"/>
        <v>3</v>
      </c>
      <c r="Q100" s="14" t="str">
        <f t="shared" si="20"/>
        <v>Wed</v>
      </c>
    </row>
    <row r="101" spans="1:17" x14ac:dyDescent="0.3">
      <c r="A101" s="10" t="s">
        <v>104</v>
      </c>
      <c r="B101" s="10">
        <v>75</v>
      </c>
      <c r="C101" s="11">
        <v>45987</v>
      </c>
      <c r="D101" s="12">
        <v>95</v>
      </c>
      <c r="E101" s="12">
        <v>7125</v>
      </c>
      <c r="F101" s="11">
        <v>45987</v>
      </c>
      <c r="G101" s="12">
        <v>105</v>
      </c>
      <c r="H101" s="12">
        <f>[1]!Fo_SUMMARY[[#This Row],[Sell Price]]*[1]!Fo_SUMMARY[[#This Row],[Quantity]]</f>
        <v>7875</v>
      </c>
      <c r="I101" s="12">
        <f>[1]!Fo_SUMMARY[[#This Row],[Sell Value]]-[1]!Fo_SUMMARY[[#This Row],[Buy Value]]</f>
        <v>750</v>
      </c>
      <c r="J101" s="13" t="str">
        <f>IF([1]!Fo_SUMMARY[[#This Row],[Realized P&amp;L]]&gt;0, "Realized Profit", "Realized Loss")</f>
        <v>Realized Profit</v>
      </c>
      <c r="K101" s="14">
        <f t="shared" si="14"/>
        <v>4</v>
      </c>
      <c r="L101" s="14" t="str">
        <f t="shared" si="15"/>
        <v>Q4</v>
      </c>
      <c r="M101" s="14">
        <f t="shared" si="16"/>
        <v>11</v>
      </c>
      <c r="N101" s="14" t="str">
        <f t="shared" si="17"/>
        <v>Nov</v>
      </c>
      <c r="O101" s="14">
        <f t="shared" si="18"/>
        <v>48</v>
      </c>
      <c r="P101" s="14">
        <f t="shared" si="19"/>
        <v>3</v>
      </c>
      <c r="Q101" s="14" t="str">
        <f t="shared" si="20"/>
        <v>Wed</v>
      </c>
    </row>
    <row r="102" spans="1:17" x14ac:dyDescent="0.3">
      <c r="A102" s="10" t="s">
        <v>104</v>
      </c>
      <c r="B102" s="10">
        <v>75</v>
      </c>
      <c r="C102" s="11">
        <v>45988</v>
      </c>
      <c r="D102" s="12">
        <v>121.75</v>
      </c>
      <c r="E102" s="12">
        <v>9131.25</v>
      </c>
      <c r="F102" s="11">
        <v>45988</v>
      </c>
      <c r="G102" s="12">
        <v>133</v>
      </c>
      <c r="H102" s="12">
        <f>[1]!Fo_SUMMARY[[#This Row],[Sell Price]]*[1]!Fo_SUMMARY[[#This Row],[Quantity]]</f>
        <v>9975</v>
      </c>
      <c r="I102" s="12">
        <f>[1]!Fo_SUMMARY[[#This Row],[Sell Value]]-[1]!Fo_SUMMARY[[#This Row],[Buy Value]]</f>
        <v>843.75</v>
      </c>
      <c r="J102" s="13" t="str">
        <f>IF([1]!Fo_SUMMARY[[#This Row],[Realized P&amp;L]]&gt;0, "Realized Profit", "Realized Loss")</f>
        <v>Realized Profit</v>
      </c>
      <c r="K102" s="14">
        <f t="shared" si="14"/>
        <v>4</v>
      </c>
      <c r="L102" s="14" t="str">
        <f t="shared" si="15"/>
        <v>Q4</v>
      </c>
      <c r="M102" s="14">
        <f t="shared" si="16"/>
        <v>11</v>
      </c>
      <c r="N102" s="14" t="str">
        <f t="shared" si="17"/>
        <v>Nov</v>
      </c>
      <c r="O102" s="14">
        <f t="shared" si="18"/>
        <v>48</v>
      </c>
      <c r="P102" s="14">
        <f t="shared" si="19"/>
        <v>4</v>
      </c>
      <c r="Q102" s="14" t="str">
        <f t="shared" si="20"/>
        <v>Thu</v>
      </c>
    </row>
    <row r="103" spans="1:17" x14ac:dyDescent="0.3">
      <c r="A103" s="10" t="s">
        <v>104</v>
      </c>
      <c r="B103" s="10">
        <v>75</v>
      </c>
      <c r="C103" s="11">
        <v>45988</v>
      </c>
      <c r="D103" s="12">
        <v>125</v>
      </c>
      <c r="E103" s="12">
        <v>9375</v>
      </c>
      <c r="F103" s="11"/>
      <c r="G103" s="12"/>
      <c r="H103" s="12">
        <f>[1]!Fo_SUMMARY[[#This Row],[Sell Price]]*[1]!Fo_SUMMARY[[#This Row],[Quantity]]</f>
        <v>0</v>
      </c>
      <c r="I103" s="12">
        <f>[1]!Fo_SUMMARY[[#This Row],[Sell Value]]-[1]!Fo_SUMMARY[[#This Row],[Buy Value]]</f>
        <v>-9375</v>
      </c>
      <c r="J103" s="13" t="str">
        <f>IF([1]!Fo_SUMMARY[[#This Row],[Realized P&amp;L]]&gt;0, "Realized Profit", "Realized Loss")</f>
        <v>Realized Loss</v>
      </c>
      <c r="K103" s="14">
        <f t="shared" si="14"/>
        <v>4</v>
      </c>
      <c r="L103" s="14" t="str">
        <f t="shared" si="15"/>
        <v>Q4</v>
      </c>
      <c r="M103" s="14">
        <f t="shared" si="16"/>
        <v>11</v>
      </c>
      <c r="N103" s="14" t="str">
        <f t="shared" si="17"/>
        <v>Nov</v>
      </c>
      <c r="O103" s="14">
        <f t="shared" si="18"/>
        <v>48</v>
      </c>
      <c r="P103" s="14">
        <f t="shared" si="19"/>
        <v>4</v>
      </c>
      <c r="Q103" s="14" t="str">
        <f t="shared" si="20"/>
        <v>Thu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 AND O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sharada bellad</dc:creator>
  <cp:lastModifiedBy>sharada bellad</cp:lastModifiedBy>
  <dcterms:created xsi:type="dcterms:W3CDTF">2025-10-19T17:31:06Z</dcterms:created>
  <dcterms:modified xsi:type="dcterms:W3CDTF">2025-11-30T15:58:28Z</dcterms:modified>
</cp:coreProperties>
</file>